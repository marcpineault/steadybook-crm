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ctivity Log" sheetId="3" state="visible" r:id="rId3"/>
    <sheet xmlns:r="http://schemas.openxmlformats.org/officeDocument/2006/relationships" name="Weekly Review" sheetId="4" state="visible" r:id="rId4"/>
  </sheets>
  <definedNames>
    <definedName name="_xlnm._FilterDatabase" localSheetId="0" hidden="1">'Pipeline'!$A$4:$M$80</definedName>
    <definedName name="_xlnm._FilterDatabase" localSheetId="2" hidden="1">'Activity Log'!$A$2:$F$102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Aptos"/>
      <b val="1"/>
      <color rgb="00FFFFFF"/>
      <sz val="18"/>
    </font>
    <font>
      <name val="Aptos"/>
      <b val="1"/>
      <color rgb="007F8C8D"/>
      <sz val="8"/>
    </font>
    <font>
      <name val="Aptos"/>
      <b val="1"/>
      <color rgb="001ABC9C"/>
      <sz val="13"/>
    </font>
    <font>
      <name val="Aptos"/>
      <b val="1"/>
      <color rgb="00FFFFFF"/>
      <sz val="10"/>
    </font>
    <font>
      <name val="Aptos"/>
      <color rgb="002C3E50"/>
      <sz val="10"/>
    </font>
    <font>
      <name val="Aptos"/>
      <b val="1"/>
      <color rgb="001ABC9C"/>
      <sz val="24"/>
    </font>
    <font>
      <name val="Aptos"/>
      <b val="1"/>
      <color rgb="003498DB"/>
      <sz val="24"/>
    </font>
    <font>
      <name val="Aptos"/>
      <b val="1"/>
      <color rgb="0027AE60"/>
      <sz val="24"/>
    </font>
    <font>
      <name val="Aptos"/>
      <b val="1"/>
      <color rgb="008E44AD"/>
      <sz val="24"/>
    </font>
    <font>
      <b val="1"/>
    </font>
    <font>
      <name val="Aptos"/>
      <b val="1"/>
      <color rgb="00FFFFFF"/>
      <sz val="12"/>
    </font>
    <font>
      <name val="Aptos"/>
      <color rgb="002C3E50"/>
      <sz val="11"/>
    </font>
    <font>
      <name val="Aptos"/>
      <b val="1"/>
      <color rgb="000F1B2D"/>
      <sz val="16"/>
    </font>
    <font>
      <name val="Aptos"/>
      <color rgb="002C3E50"/>
      <sz val="12"/>
    </font>
    <font>
      <name val="Aptos"/>
      <b val="1"/>
      <color rgb="000F1B2D"/>
      <sz val="18"/>
    </font>
  </fonts>
  <fills count="8">
    <fill>
      <patternFill/>
    </fill>
    <fill>
      <patternFill patternType="gray125"/>
    </fill>
    <fill>
      <patternFill patternType="solid">
        <fgColor rgb="000F1B2D"/>
        <bgColor rgb="000F1B2D"/>
      </patternFill>
    </fill>
    <fill>
      <patternFill patternType="solid">
        <fgColor rgb="001A2744"/>
        <bgColor rgb="001A2744"/>
      </patternFill>
    </fill>
    <fill>
      <patternFill patternType="solid">
        <fgColor rgb="00FAFBFC"/>
        <bgColor rgb="00FAFBFC"/>
      </patternFill>
    </fill>
    <fill>
      <patternFill patternType="solid">
        <fgColor rgb="001ABC9C"/>
        <bgColor rgb="001ABC9C"/>
      </patternFill>
    </fill>
    <fill>
      <patternFill patternType="solid">
        <fgColor rgb="00FFFFFF"/>
        <bgColor rgb="00FFFFFF"/>
      </patternFill>
    </fill>
    <fill>
      <patternFill patternType="solid">
        <fgColor rgb="00F0F2F5"/>
        <bgColor rgb="00F0F2F5"/>
      </patternFill>
    </fill>
  </fills>
  <borders count="10">
    <border>
      <left/>
      <right/>
      <top/>
      <bottom/>
      <diagonal/>
    </border>
    <border>
      <left style="thin">
        <color rgb="00DDE1E6"/>
      </left>
      <right style="thin">
        <color rgb="00DDE1E6"/>
      </right>
      <top style="thin">
        <color rgb="00DDE1E6"/>
      </top>
      <bottom style="thin">
        <color rgb="00DDE1E6"/>
      </bottom>
    </border>
    <border>
      <top style="thick">
        <color rgb="001ABC9C"/>
      </top>
    </border>
    <border>
      <top style="thick">
        <color rgb="003498DB"/>
      </top>
    </border>
    <border>
      <top style="thick">
        <color rgb="0027AE60"/>
      </top>
    </border>
    <border>
      <top style="thick">
        <color rgb="008E44AD"/>
      </top>
    </border>
    <border>
      <left/>
      <right/>
      <top style="thin">
        <color rgb="00DDE1E6"/>
      </top>
      <bottom/>
      <diagonal/>
    </border>
    <border>
      <left/>
      <right style="thin">
        <color rgb="00DDE1E6"/>
      </right>
      <top style="thin">
        <color rgb="00DDE1E6"/>
      </top>
      <bottom/>
      <diagonal/>
    </border>
    <border>
      <left/>
      <right/>
      <top style="thin">
        <color rgb="00DDE1E6"/>
      </top>
      <bottom style="thin">
        <color rgb="00DDE1E6"/>
      </bottom>
      <diagonal/>
    </border>
    <border>
      <left/>
      <right style="thin">
        <color rgb="00DDE1E6"/>
      </right>
      <top style="thin">
        <color rgb="00DDE1E6"/>
      </top>
      <bottom style="thin">
        <color rgb="00DDE1E6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right" vertical="center"/>
    </xf>
    <xf numFmtId="1" fontId="3" fillId="3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center" vertical="center" wrapText="1"/>
    </xf>
    <xf numFmtId="1" fontId="5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left" vertical="center" wrapText="1"/>
    </xf>
    <xf numFmtId="1" fontId="5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left" vertical="center" wrapText="1"/>
    </xf>
    <xf numFmtId="1" fontId="5" fillId="6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9" fontId="9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0" pivotButton="0" quotePrefix="0" xfId="0"/>
    <xf numFmtId="164" fontId="0" fillId="0" borderId="0" pivotButton="0" quotePrefix="0" xfId="0"/>
    <xf numFmtId="0" fontId="11" fillId="3" borderId="0" applyAlignment="1" pivotButton="0" quotePrefix="0" xfId="0">
      <alignment horizontal="left" vertical="center" indent="1"/>
    </xf>
    <xf numFmtId="0" fontId="12" fillId="0" borderId="1" pivotButton="0" quotePrefix="0" xfId="0"/>
    <xf numFmtId="0" fontId="0" fillId="0" borderId="8" pivotButton="0" quotePrefix="0" xfId="0"/>
    <xf numFmtId="0" fontId="0" fillId="0" borderId="9" pivotButton="0" quotePrefix="0" xfId="0"/>
    <xf numFmtId="0" fontId="13" fillId="0" borderId="1" applyAlignment="1" pivotButton="0" quotePrefix="0" xfId="0">
      <alignment horizontal="center"/>
    </xf>
    <xf numFmtId="0" fontId="14" fillId="0" borderId="1" pivotButton="0" quotePrefix="0" xfId="0"/>
    <xf numFmtId="1" fontId="15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0" fontId="0" fillId="7" borderId="1" pivotButton="0" quotePrefix="0" xfId="0"/>
    <xf numFmtId="0" fontId="0" fillId="6" borderId="1" pivotButton="0" quotePrefix="0" xfId="0"/>
  </cellXfs>
  <cellStyles count="1">
    <cellStyle name="Normal" xfId="0" builtinId="0" hidden="0"/>
  </cellStyles>
  <dxfs count="12">
    <dxf>
      <font>
        <b val="1"/>
        <color rgb="002C3E50"/>
      </font>
      <fill>
        <patternFill patternType="solid">
          <fgColor rgb="00BDC3C7"/>
          <bgColor rgb="00BDC3C7"/>
        </patternFill>
      </fill>
    </dxf>
    <dxf>
      <font>
        <b val="1"/>
        <color rgb="00FFFFFF"/>
      </font>
      <fill>
        <patternFill patternType="solid">
          <fgColor rgb="003498DB"/>
          <bgColor rgb="003498DB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b val="1"/>
        <color rgb="00FFFFFF"/>
      </font>
      <fill>
        <patternFill patternType="solid">
          <fgColor rgb="00E67E22"/>
          <bgColor rgb="00E67E22"/>
        </patternFill>
      </fill>
    </dxf>
    <dxf>
      <font>
        <b val="1"/>
        <color rgb="002C3E50"/>
      </font>
      <fill>
        <patternFill patternType="solid">
          <fgColor rgb="00F39C12"/>
          <bgColor rgb="00F39C12"/>
        </patternFill>
      </fill>
    </dxf>
    <dxf>
      <font>
        <b val="1"/>
        <color rgb="00FFFFFF"/>
      </font>
      <fill>
        <patternFill patternType="solid">
          <fgColor rgb="002980B9"/>
          <bgColor rgb="002980B9"/>
        </patternFill>
      </fill>
    </dxf>
    <dxf>
      <font>
        <b val="1"/>
        <color rgb="00FFFFFF"/>
      </font>
      <fill>
        <patternFill patternType="solid">
          <fgColor rgb="00E74C3C"/>
          <bgColor rgb="00E74C3C"/>
        </patternFill>
      </fill>
    </dxf>
    <dxf>
      <font>
        <b val="1"/>
        <color rgb="00FFFFFF"/>
      </font>
      <fill>
        <patternFill patternType="solid">
          <fgColor rgb="0027AE60"/>
          <bgColor rgb="0027AE60"/>
        </patternFill>
      </fill>
    </dxf>
    <dxf>
      <font>
        <b val="1"/>
        <color rgb="00FFFFFF"/>
      </font>
      <fill>
        <patternFill patternType="solid">
          <fgColor rgb="0095A5A6"/>
          <bgColor rgb="0095A5A6"/>
        </patternFill>
      </fill>
    </dxf>
    <dxf>
      <font>
        <b val="1"/>
        <color rgb="00FFFFFF"/>
      </font>
      <fill>
        <patternFill patternType="solid">
          <fgColor rgb="001ABC9C"/>
          <bgColor rgb="001ABC9C"/>
        </patternFill>
      </fill>
    </dxf>
    <dxf>
      <font>
        <b val="1"/>
        <color rgb="00E74C3C"/>
      </font>
      <fill>
        <patternFill patternType="solid">
          <fgColor rgb="00FADBD8"/>
          <bgColor rgb="00FADBD8"/>
        </patternFill>
      </fill>
    </dxf>
    <dxf>
      <font>
        <b val="1"/>
        <color rgb="0027AE60"/>
      </font>
      <fill>
        <patternFill patternType="solid">
          <fgColor rgb="00D5F5E3"/>
          <b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Prospects by Stage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'Dashboard'!B20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BDC3C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39C12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980B9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95A5A6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1ABC9C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'Dashboard'!$A$21:$A$30</f>
            </numRef>
          </cat>
          <val>
            <numRef>
              <f>'Dashboard'!$B$21:$B$30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'Dashboard'!C20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prstDash val="solid"/>
            </a:ln>
          </spPr>
          <cat>
            <numRef>
              <f>'Dashboard'!$A$21:$A$30</f>
            </numRef>
          </cat>
          <val>
            <numRef>
              <f>'Dashboard'!$C$21:$C$30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Where Leads Come From</a:t>
            </a:r>
          </a:p>
        </rich>
      </tx>
    </title>
    <plotArea>
      <pieChart>
        <varyColors val="1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39C12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1ABC9C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0F1B2D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BDC3C7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'Dashboard'!$A$34:$A$42</f>
            </numRef>
          </cat>
          <val>
            <numRef>
              <f>'Dashboard'!$B$34:$B$42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'Dashboard'!C45</f>
            </strRef>
          </tx>
          <spPr>
            <a:solidFill xmlns:a="http://schemas.openxmlformats.org/drawingml/2006/main">
              <a:srgbClr val="8E44AD"/>
            </a:solidFill>
            <a:ln xmlns:a="http://schemas.openxmlformats.org/drawingml/2006/main">
              <a:prstDash val="solid"/>
            </a:ln>
          </spPr>
          <cat>
            <numRef>
              <f>'Dashboard'!$A$46:$A$51</f>
            </numRef>
          </cat>
          <val>
            <numRef>
              <f>'Dashboard'!$C$46:$C$51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6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720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21</row>
      <rowOff>0</rowOff>
    </from>
    <ext cx="720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BC9C"/>
    <outlinePr summaryBelow="1" summaryRight="1"/>
    <pageSetUpPr fitToPage="1"/>
  </sheetPr>
  <dimension ref="A1:M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6" customWidth="1" min="3" max="3"/>
    <col width="14" customWidth="1" min="4" max="4"/>
    <col width="10" customWidth="1" min="5" max="5"/>
    <col width="16" customWidth="1" min="6" max="6"/>
    <col width="18" customWidth="1" min="7" max="7"/>
    <col width="16" customWidth="1" min="8" max="8"/>
    <col width="14" customWidth="1" min="9" max="9"/>
    <col width="13" customWidth="1" min="10" max="10"/>
    <col width="14" customWidth="1" min="11" max="11"/>
    <col width="10" customWidth="1" min="12" max="12"/>
    <col width="38" customWidth="1" min="13" max="13"/>
  </cols>
  <sheetData>
    <row r="1" ht="50" customHeight="1">
      <c r="A1" s="1" t="inlineStr">
        <is>
          <t>CALM MONEY  —  Sales Pipeline</t>
        </is>
      </c>
    </row>
    <row r="2" ht="30" customHeight="1">
      <c r="A2" s="2" t="inlineStr">
        <is>
          <t>ACTIVE:</t>
        </is>
      </c>
      <c r="B2" s="3">
        <f>COUNTIFS(A5:A80,"&lt;&gt;",F5:F80,"&lt;&gt;Closed-Won",F5:F80,"&lt;&gt;Closed-Lost")</f>
        <v/>
      </c>
      <c r="C2" s="2" t="inlineStr">
        <is>
          <t>PIPELINE $:</t>
        </is>
      </c>
      <c r="D2" s="4">
        <f>SUMPRODUCT((F5:F80&lt;&gt;"Closed-Won")*(F5:F80&lt;&gt;"Closed-Lost")*(F5:F80&lt;&gt;"")*H5:H80)</f>
        <v/>
      </c>
      <c r="E2" s="5" t="n"/>
      <c r="F2" s="2" t="inlineStr">
        <is>
          <t>HOT:</t>
        </is>
      </c>
      <c r="G2" s="3">
        <f>COUNTIF(E5:E80,"Hot")</f>
        <v/>
      </c>
      <c r="H2" s="2" t="inlineStr">
        <is>
          <t>OVERDUE:</t>
        </is>
      </c>
      <c r="I2" s="3">
        <f>COUNTIFS(K5:K80,"&lt;"&amp;TODAY(),K5:K80,"&lt;&gt;",F5:F80,"&lt;&gt;Closed-Won",F5:F80,"&lt;&gt;Closed-Lost")</f>
        <v/>
      </c>
      <c r="J2" s="2" t="inlineStr">
        <is>
          <t>WON:</t>
        </is>
      </c>
      <c r="K2" s="3">
        <f>COUNTIF(F5:F80,"Closed-Won")</f>
        <v/>
      </c>
      <c r="L2" s="5" t="n"/>
      <c r="M2" s="5" t="n"/>
    </row>
    <row r="3" ht="4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35" customHeight="1">
      <c r="A4" s="7" t="inlineStr">
        <is>
          <t>Prospect</t>
        </is>
      </c>
      <c r="B4" s="7" t="inlineStr">
        <is>
          <t>Phone</t>
        </is>
      </c>
      <c r="C4" s="7" t="inlineStr">
        <is>
          <t>Email</t>
        </is>
      </c>
      <c r="D4" s="7" t="inlineStr">
        <is>
          <t>Source</t>
        </is>
      </c>
      <c r="E4" s="7" t="inlineStr">
        <is>
          <t>Priority</t>
        </is>
      </c>
      <c r="F4" s="7" t="inlineStr">
        <is>
          <t>Stage</t>
        </is>
      </c>
      <c r="G4" s="7" t="inlineStr">
        <is>
          <t>Product</t>
        </is>
      </c>
      <c r="H4" s="7" t="inlineStr">
        <is>
          <t>Est. Premium / AUM</t>
        </is>
      </c>
      <c r="I4" s="7" t="inlineStr">
        <is>
          <t>Est. Revenue</t>
        </is>
      </c>
      <c r="J4" s="7" t="inlineStr">
        <is>
          <t>First Contact</t>
        </is>
      </c>
      <c r="K4" s="7" t="inlineStr">
        <is>
          <t>Next Follow-Up</t>
        </is>
      </c>
      <c r="L4" s="7" t="inlineStr">
        <is>
          <t>Days Open</t>
        </is>
      </c>
      <c r="M4" s="7" t="inlineStr">
        <is>
          <t>Notes</t>
        </is>
      </c>
    </row>
    <row r="5">
      <c r="A5" s="8" t="inlineStr">
        <is>
          <t>Sarah Johnson</t>
        </is>
      </c>
      <c r="B5" s="8" t="inlineStr">
        <is>
          <t>519-555-0101</t>
        </is>
      </c>
      <c r="C5" s="8" t="inlineStr">
        <is>
          <t>sarah.j@email.com</t>
        </is>
      </c>
      <c r="D5" s="8" t="inlineStr">
        <is>
          <t>Referral</t>
        </is>
      </c>
      <c r="E5" s="8" t="inlineStr">
        <is>
          <t>Hot</t>
        </is>
      </c>
      <c r="F5" s="8" t="inlineStr">
        <is>
          <t>Discovery Call</t>
        </is>
      </c>
      <c r="G5" s="8" t="inlineStr">
        <is>
          <t>Life Insurance + Wealth</t>
        </is>
      </c>
      <c r="H5" s="9" t="n">
        <v>350000</v>
      </c>
      <c r="I5" s="9" t="n">
        <v>4500</v>
      </c>
      <c r="J5" s="10" t="inlineStr">
        <is>
          <t>2026-02-15</t>
        </is>
      </c>
      <c r="K5" s="10" t="inlineStr">
        <is>
          <t>2026-03-12</t>
        </is>
      </c>
      <c r="L5" s="11">
        <f>IF(A5="","",DAYS(TODAY(),J5))</f>
        <v/>
      </c>
      <c r="M5" s="8" t="inlineStr">
        <is>
          <t>Couple, 2 kids. Needs term life + RRSP/TFSA strategy.</t>
        </is>
      </c>
    </row>
    <row r="6">
      <c r="A6" s="12" t="inlineStr">
        <is>
          <t>David Chen</t>
        </is>
      </c>
      <c r="B6" s="12" t="inlineStr">
        <is>
          <t>519-555-0202</t>
        </is>
      </c>
      <c r="C6" s="12" t="inlineStr">
        <is>
          <t>d.chen@email.com</t>
        </is>
      </c>
      <c r="D6" s="12" t="inlineStr">
        <is>
          <t>Website</t>
        </is>
      </c>
      <c r="E6" s="12" t="inlineStr">
        <is>
          <t>Warm</t>
        </is>
      </c>
      <c r="F6" s="12" t="inlineStr">
        <is>
          <t>New Lead</t>
        </is>
      </c>
      <c r="G6" s="12" t="inlineStr">
        <is>
          <t>Wealth Management</t>
        </is>
      </c>
      <c r="H6" s="13" t="n">
        <v>180000</v>
      </c>
      <c r="I6" s="13" t="n">
        <v>1800</v>
      </c>
      <c r="J6" s="14" t="inlineStr">
        <is>
          <t>2026-03-01</t>
        </is>
      </c>
      <c r="K6" s="14" t="inlineStr">
        <is>
          <t>2026-03-10</t>
        </is>
      </c>
      <c r="L6" s="15">
        <f>IF(A6="","",DAYS(TODAY(),J6))</f>
        <v/>
      </c>
      <c r="M6" s="12" t="inlineStr">
        <is>
          <t>Software dev. Downloaded retirement guide.</t>
        </is>
      </c>
    </row>
    <row r="7">
      <c r="A7" s="8" t="inlineStr">
        <is>
          <t>Jessica Williams</t>
        </is>
      </c>
      <c r="B7" s="8" t="inlineStr">
        <is>
          <t>519-555-0303</t>
        </is>
      </c>
      <c r="C7" s="8" t="inlineStr">
        <is>
          <t>jwilliams@email.com</t>
        </is>
      </c>
      <c r="D7" s="8" t="inlineStr">
        <is>
          <t>Social Media</t>
        </is>
      </c>
      <c r="E7" s="8" t="inlineStr">
        <is>
          <t>Hot</t>
        </is>
      </c>
      <c r="F7" s="8" t="inlineStr">
        <is>
          <t>Plan Presentation</t>
        </is>
      </c>
      <c r="G7" s="8" t="inlineStr">
        <is>
          <t>Life Insurance + Wealth</t>
        </is>
      </c>
      <c r="H7" s="9" t="n">
        <v>420000</v>
      </c>
      <c r="I7" s="9" t="n">
        <v>5200</v>
      </c>
      <c r="J7" s="10" t="inlineStr">
        <is>
          <t>2026-01-20</t>
        </is>
      </c>
      <c r="K7" s="10" t="inlineStr">
        <is>
          <t>2026-03-14</t>
        </is>
      </c>
      <c r="L7" s="11">
        <f>IF(A7="","",DAYS(TODAY(),J7))</f>
        <v/>
      </c>
      <c r="M7" s="8" t="inlineStr">
        <is>
          <t>Dual income. RESP + retirement + $1M term life.</t>
        </is>
      </c>
    </row>
    <row r="8">
      <c r="A8" s="12" t="inlineStr">
        <is>
          <t>Michael Brown</t>
        </is>
      </c>
      <c r="B8" s="12" t="inlineStr">
        <is>
          <t>519-555-0404</t>
        </is>
      </c>
      <c r="C8" s="12" t="inlineStr">
        <is>
          <t>m.brown@email.com</t>
        </is>
      </c>
      <c r="D8" s="12" t="inlineStr">
        <is>
          <t>Seminar</t>
        </is>
      </c>
      <c r="E8" s="12" t="inlineStr">
        <is>
          <t>Warm</t>
        </is>
      </c>
      <c r="F8" s="12" t="inlineStr">
        <is>
          <t>Proposal Sent</t>
        </is>
      </c>
      <c r="G8" s="12" t="inlineStr">
        <is>
          <t>Wealth Management</t>
        </is>
      </c>
      <c r="H8" s="13" t="n">
        <v>275000</v>
      </c>
      <c r="I8" s="13" t="n">
        <v>2750</v>
      </c>
      <c r="J8" s="14" t="inlineStr">
        <is>
          <t>2026-02-01</t>
        </is>
      </c>
      <c r="K8" s="14" t="inlineStr">
        <is>
          <t>2026-03-09</t>
        </is>
      </c>
      <c r="L8" s="15">
        <f>IF(A8="","",DAYS(TODAY(),J8))</f>
        <v/>
      </c>
      <c r="M8" s="12" t="inlineStr">
        <is>
          <t>Business owner. Corp investing + personal.</t>
        </is>
      </c>
    </row>
    <row r="9">
      <c r="A9" s="8" t="inlineStr">
        <is>
          <t>Priya Patel</t>
        </is>
      </c>
      <c r="B9" s="8" t="inlineStr">
        <is>
          <t>519-555-0808</t>
        </is>
      </c>
      <c r="C9" s="8" t="inlineStr">
        <is>
          <t>p.patel@email.com</t>
        </is>
      </c>
      <c r="D9" s="8" t="inlineStr">
        <is>
          <t>Referral</t>
        </is>
      </c>
      <c r="E9" s="8" t="inlineStr">
        <is>
          <t>Hot</t>
        </is>
      </c>
      <c r="F9" s="8" t="inlineStr">
        <is>
          <t>Negotiation</t>
        </is>
      </c>
      <c r="G9" s="8" t="inlineStr">
        <is>
          <t>Life Insurance + Wealth</t>
        </is>
      </c>
      <c r="H9" s="9" t="n">
        <v>850000</v>
      </c>
      <c r="I9" s="9" t="n">
        <v>10500</v>
      </c>
      <c r="J9" s="10" t="inlineStr">
        <is>
          <t>2026-01-15</t>
        </is>
      </c>
      <c r="K9" s="10" t="inlineStr">
        <is>
          <t>2026-03-10</t>
        </is>
      </c>
      <c r="L9" s="11">
        <f>IF(A9="","",DAYS(TODAY(),J9))</f>
        <v/>
      </c>
      <c r="M9" s="8" t="inlineStr">
        <is>
          <t>Physician. IPP, corp life, key person insurance.</t>
        </is>
      </c>
    </row>
    <row r="10">
      <c r="A10" s="12" t="inlineStr">
        <is>
          <t>Amanda Taylor</t>
        </is>
      </c>
      <c r="B10" s="12" t="inlineStr">
        <is>
          <t>519-555-0505</t>
        </is>
      </c>
      <c r="C10" s="12" t="inlineStr">
        <is>
          <t>ataylor@email.com</t>
        </is>
      </c>
      <c r="D10" s="12" t="inlineStr">
        <is>
          <t>Referral</t>
        </is>
      </c>
      <c r="E10" s="12" t="inlineStr">
        <is>
          <t>Hot</t>
        </is>
      </c>
      <c r="F10" s="12" t="inlineStr">
        <is>
          <t>Closed-Won</t>
        </is>
      </c>
      <c r="G10" s="12" t="inlineStr">
        <is>
          <t>Wealth Management</t>
        </is>
      </c>
      <c r="H10" s="13" t="n">
        <v>500000</v>
      </c>
      <c r="I10" s="13" t="n">
        <v>5000</v>
      </c>
      <c r="J10" s="14" t="inlineStr">
        <is>
          <t>2025-12-10</t>
        </is>
      </c>
      <c r="K10" s="14" t="inlineStr"/>
      <c r="L10" s="15">
        <f>IF(A10="","",DAYS(TODAY(),J10))</f>
        <v/>
      </c>
      <c r="M10" s="12" t="inlineStr">
        <is>
          <t>Full plan + investment mgmt. Great referral source.</t>
        </is>
      </c>
    </row>
    <row r="11">
      <c r="A11" s="8" t="inlineStr">
        <is>
          <t>Tyler Brooks</t>
        </is>
      </c>
      <c r="B11" s="8" t="inlineStr">
        <is>
          <t>519-555-0909</t>
        </is>
      </c>
      <c r="C11" s="8" t="inlineStr">
        <is>
          <t>t.brooks@email.com</t>
        </is>
      </c>
      <c r="D11" s="8" t="inlineStr">
        <is>
          <t>Cold Outreach</t>
        </is>
      </c>
      <c r="E11" s="8" t="inlineStr">
        <is>
          <t>Cold</t>
        </is>
      </c>
      <c r="F11" s="8" t="inlineStr">
        <is>
          <t>Nurture</t>
        </is>
      </c>
      <c r="G11" s="8" t="inlineStr">
        <is>
          <t>Life Insurance</t>
        </is>
      </c>
      <c r="H11" s="9" t="n">
        <v>0</v>
      </c>
      <c r="I11" s="9" t="n">
        <v>1200</v>
      </c>
      <c r="J11" s="10" t="inlineStr">
        <is>
          <t>2026-01-05</t>
        </is>
      </c>
      <c r="K11" s="10" t="inlineStr">
        <is>
          <t>2026-04-01</t>
        </is>
      </c>
      <c r="L11" s="11">
        <f>IF(A11="","",DAYS(TODAY(),J11))</f>
        <v/>
      </c>
      <c r="M11" s="8" t="inlineStr">
        <is>
          <t>Young professional. Term life quote sent. Not ready for wealth.</t>
        </is>
      </c>
    </row>
    <row r="12">
      <c r="A12" s="12" t="inlineStr">
        <is>
          <t>Vikas Sharma</t>
        </is>
      </c>
      <c r="B12" s="12" t="n"/>
      <c r="C12" s="12" t="n"/>
      <c r="D12" s="12" t="n"/>
      <c r="E12" s="12" t="n"/>
      <c r="F12" s="12" t="inlineStr">
        <is>
          <t>New Lead</t>
        </is>
      </c>
      <c r="G12" s="12" t="n"/>
      <c r="H12" s="16" t="n">
        <v>250000</v>
      </c>
      <c r="I12" s="16" t="n"/>
      <c r="J12" s="12" t="inlineStr">
        <is>
          <t>2026-03-09</t>
        </is>
      </c>
      <c r="K12" s="12" t="n"/>
      <c r="L12" s="17">
        <f>IF(A12="","",DAYS(TODAY(),J12))</f>
        <v/>
      </c>
      <c r="M12" s="12" t="n"/>
    </row>
    <row r="13">
      <c r="A13" s="8" t="n"/>
      <c r="B13" s="8" t="n"/>
      <c r="C13" s="8" t="n"/>
      <c r="D13" s="8" t="n"/>
      <c r="E13" s="8" t="n"/>
      <c r="F13" s="8" t="n"/>
      <c r="G13" s="8" t="n"/>
      <c r="H13" s="18" t="n"/>
      <c r="I13" s="18" t="n"/>
      <c r="J13" s="8" t="n"/>
      <c r="K13" s="8" t="n"/>
      <c r="L13" s="19">
        <f>IF(A13="","",DAYS(TODAY(),J13))</f>
        <v/>
      </c>
      <c r="M13" s="8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6" t="n"/>
      <c r="I14" s="16" t="n"/>
      <c r="J14" s="12" t="n"/>
      <c r="K14" s="12" t="n"/>
      <c r="L14" s="17">
        <f>IF(A14="","",DAYS(TODAY(),J14))</f>
        <v/>
      </c>
      <c r="M14" s="12" t="n"/>
    </row>
    <row r="15">
      <c r="A15" s="8" t="n"/>
      <c r="B15" s="8" t="n"/>
      <c r="C15" s="8" t="n"/>
      <c r="D15" s="8" t="n"/>
      <c r="E15" s="8" t="n"/>
      <c r="F15" s="8" t="n"/>
      <c r="G15" s="8" t="n"/>
      <c r="H15" s="18" t="n"/>
      <c r="I15" s="18" t="n"/>
      <c r="J15" s="8" t="n"/>
      <c r="K15" s="8" t="n"/>
      <c r="L15" s="19">
        <f>IF(A15="","",DAYS(TODAY(),J15))</f>
        <v/>
      </c>
      <c r="M15" s="8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6" t="n"/>
      <c r="I16" s="16" t="n"/>
      <c r="J16" s="12" t="n"/>
      <c r="K16" s="12" t="n"/>
      <c r="L16" s="17">
        <f>IF(A16="","",DAYS(TODAY(),J16))</f>
        <v/>
      </c>
      <c r="M16" s="12" t="n"/>
    </row>
    <row r="17">
      <c r="A17" s="8" t="n"/>
      <c r="B17" s="8" t="n"/>
      <c r="C17" s="8" t="n"/>
      <c r="D17" s="8" t="n"/>
      <c r="E17" s="8" t="n"/>
      <c r="F17" s="8" t="n"/>
      <c r="G17" s="8" t="n"/>
      <c r="H17" s="18" t="n"/>
      <c r="I17" s="18" t="n"/>
      <c r="J17" s="8" t="n"/>
      <c r="K17" s="8" t="n"/>
      <c r="L17" s="19">
        <f>IF(A17="","",DAYS(TODAY(),J17))</f>
        <v/>
      </c>
      <c r="M17" s="8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6" t="n"/>
      <c r="I18" s="16" t="n"/>
      <c r="J18" s="12" t="n"/>
      <c r="K18" s="12" t="n"/>
      <c r="L18" s="17">
        <f>IF(A18="","",DAYS(TODAY(),J18))</f>
        <v/>
      </c>
      <c r="M18" s="12" t="n"/>
    </row>
    <row r="19">
      <c r="A19" s="8" t="n"/>
      <c r="B19" s="8" t="n"/>
      <c r="C19" s="8" t="n"/>
      <c r="D19" s="8" t="n"/>
      <c r="E19" s="8" t="n"/>
      <c r="F19" s="8" t="n"/>
      <c r="G19" s="8" t="n"/>
      <c r="H19" s="18" t="n"/>
      <c r="I19" s="18" t="n"/>
      <c r="J19" s="8" t="n"/>
      <c r="K19" s="8" t="n"/>
      <c r="L19" s="19">
        <f>IF(A19="","",DAYS(TODAY(),J19))</f>
        <v/>
      </c>
      <c r="M19" s="8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6" t="n"/>
      <c r="I20" s="16" t="n"/>
      <c r="J20" s="12" t="n"/>
      <c r="K20" s="12" t="n"/>
      <c r="L20" s="17">
        <f>IF(A20="","",DAYS(TODAY(),J20))</f>
        <v/>
      </c>
      <c r="M20" s="12" t="n"/>
    </row>
    <row r="21">
      <c r="A21" s="8" t="n"/>
      <c r="B21" s="8" t="n"/>
      <c r="C21" s="8" t="n"/>
      <c r="D21" s="8" t="n"/>
      <c r="E21" s="8" t="n"/>
      <c r="F21" s="8" t="n"/>
      <c r="G21" s="8" t="n"/>
      <c r="H21" s="18" t="n"/>
      <c r="I21" s="18" t="n"/>
      <c r="J21" s="8" t="n"/>
      <c r="K21" s="8" t="n"/>
      <c r="L21" s="19">
        <f>IF(A21="","",DAYS(TODAY(),J21))</f>
        <v/>
      </c>
      <c r="M21" s="8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6" t="n"/>
      <c r="I22" s="16" t="n"/>
      <c r="J22" s="12" t="n"/>
      <c r="K22" s="12" t="n"/>
      <c r="L22" s="17">
        <f>IF(A22="","",DAYS(TODAY(),J22))</f>
        <v/>
      </c>
      <c r="M22" s="12" t="n"/>
    </row>
    <row r="23">
      <c r="A23" s="8" t="n"/>
      <c r="B23" s="8" t="n"/>
      <c r="C23" s="8" t="n"/>
      <c r="D23" s="8" t="n"/>
      <c r="E23" s="8" t="n"/>
      <c r="F23" s="8" t="n"/>
      <c r="G23" s="8" t="n"/>
      <c r="H23" s="18" t="n"/>
      <c r="I23" s="18" t="n"/>
      <c r="J23" s="8" t="n"/>
      <c r="K23" s="8" t="n"/>
      <c r="L23" s="19">
        <f>IF(A23="","",DAYS(TODAY(),J23))</f>
        <v/>
      </c>
      <c r="M23" s="8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6" t="n"/>
      <c r="I24" s="16" t="n"/>
      <c r="J24" s="12" t="n"/>
      <c r="K24" s="12" t="n"/>
      <c r="L24" s="17">
        <f>IF(A24="","",DAYS(TODAY(),J24))</f>
        <v/>
      </c>
      <c r="M24" s="12" t="n"/>
    </row>
    <row r="25">
      <c r="A25" s="8" t="n"/>
      <c r="B25" s="8" t="n"/>
      <c r="C25" s="8" t="n"/>
      <c r="D25" s="8" t="n"/>
      <c r="E25" s="8" t="n"/>
      <c r="F25" s="8" t="n"/>
      <c r="G25" s="8" t="n"/>
      <c r="H25" s="18" t="n"/>
      <c r="I25" s="18" t="n"/>
      <c r="J25" s="8" t="n"/>
      <c r="K25" s="8" t="n"/>
      <c r="L25" s="19">
        <f>IF(A25="","",DAYS(TODAY(),J25))</f>
        <v/>
      </c>
      <c r="M25" s="8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6" t="n"/>
      <c r="I26" s="16" t="n"/>
      <c r="J26" s="12" t="n"/>
      <c r="K26" s="12" t="n"/>
      <c r="L26" s="17">
        <f>IF(A26="","",DAYS(TODAY(),J26))</f>
        <v/>
      </c>
      <c r="M26" s="12" t="n"/>
    </row>
    <row r="27">
      <c r="A27" s="8" t="n"/>
      <c r="B27" s="8" t="n"/>
      <c r="C27" s="8" t="n"/>
      <c r="D27" s="8" t="n"/>
      <c r="E27" s="8" t="n"/>
      <c r="F27" s="8" t="n"/>
      <c r="G27" s="8" t="n"/>
      <c r="H27" s="18" t="n"/>
      <c r="I27" s="18" t="n"/>
      <c r="J27" s="8" t="n"/>
      <c r="K27" s="8" t="n"/>
      <c r="L27" s="19">
        <f>IF(A27="","",DAYS(TODAY(),J27))</f>
        <v/>
      </c>
      <c r="M27" s="8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6" t="n"/>
      <c r="I28" s="16" t="n"/>
      <c r="J28" s="12" t="n"/>
      <c r="K28" s="12" t="n"/>
      <c r="L28" s="17">
        <f>IF(A28="","",DAYS(TODAY(),J28))</f>
        <v/>
      </c>
      <c r="M28" s="12" t="n"/>
    </row>
    <row r="29">
      <c r="A29" s="8" t="n"/>
      <c r="B29" s="8" t="n"/>
      <c r="C29" s="8" t="n"/>
      <c r="D29" s="8" t="n"/>
      <c r="E29" s="8" t="n"/>
      <c r="F29" s="8" t="n"/>
      <c r="G29" s="8" t="n"/>
      <c r="H29" s="18" t="n"/>
      <c r="I29" s="18" t="n"/>
      <c r="J29" s="8" t="n"/>
      <c r="K29" s="8" t="n"/>
      <c r="L29" s="19">
        <f>IF(A29="","",DAYS(TODAY(),J29))</f>
        <v/>
      </c>
      <c r="M29" s="8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6" t="n"/>
      <c r="I30" s="16" t="n"/>
      <c r="J30" s="12" t="n"/>
      <c r="K30" s="12" t="n"/>
      <c r="L30" s="17">
        <f>IF(A30="","",DAYS(TODAY(),J30))</f>
        <v/>
      </c>
      <c r="M30" s="12" t="n"/>
    </row>
    <row r="31">
      <c r="A31" s="8" t="n"/>
      <c r="B31" s="8" t="n"/>
      <c r="C31" s="8" t="n"/>
      <c r="D31" s="8" t="n"/>
      <c r="E31" s="8" t="n"/>
      <c r="F31" s="8" t="n"/>
      <c r="G31" s="8" t="n"/>
      <c r="H31" s="18" t="n"/>
      <c r="I31" s="18" t="n"/>
      <c r="J31" s="8" t="n"/>
      <c r="K31" s="8" t="n"/>
      <c r="L31" s="19">
        <f>IF(A31="","",DAYS(TODAY(),J31))</f>
        <v/>
      </c>
      <c r="M31" s="8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6" t="n"/>
      <c r="I32" s="16" t="n"/>
      <c r="J32" s="12" t="n"/>
      <c r="K32" s="12" t="n"/>
      <c r="L32" s="17">
        <f>IF(A32="","",DAYS(TODAY(),J32))</f>
        <v/>
      </c>
      <c r="M32" s="12" t="n"/>
    </row>
    <row r="33">
      <c r="A33" s="8" t="n"/>
      <c r="B33" s="8" t="n"/>
      <c r="C33" s="8" t="n"/>
      <c r="D33" s="8" t="n"/>
      <c r="E33" s="8" t="n"/>
      <c r="F33" s="8" t="n"/>
      <c r="G33" s="8" t="n"/>
      <c r="H33" s="18" t="n"/>
      <c r="I33" s="18" t="n"/>
      <c r="J33" s="8" t="n"/>
      <c r="K33" s="8" t="n"/>
      <c r="L33" s="19">
        <f>IF(A33="","",DAYS(TODAY(),J33))</f>
        <v/>
      </c>
      <c r="M33" s="8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6" t="n"/>
      <c r="I34" s="16" t="n"/>
      <c r="J34" s="12" t="n"/>
      <c r="K34" s="12" t="n"/>
      <c r="L34" s="17">
        <f>IF(A34="","",DAYS(TODAY(),J34))</f>
        <v/>
      </c>
      <c r="M34" s="12" t="n"/>
    </row>
    <row r="35">
      <c r="A35" s="8" t="n"/>
      <c r="B35" s="8" t="n"/>
      <c r="C35" s="8" t="n"/>
      <c r="D35" s="8" t="n"/>
      <c r="E35" s="8" t="n"/>
      <c r="F35" s="8" t="n"/>
      <c r="G35" s="8" t="n"/>
      <c r="H35" s="18" t="n"/>
      <c r="I35" s="18" t="n"/>
      <c r="J35" s="8" t="n"/>
      <c r="K35" s="8" t="n"/>
      <c r="L35" s="19">
        <f>IF(A35="","",DAYS(TODAY(),J35))</f>
        <v/>
      </c>
      <c r="M35" s="8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6" t="n"/>
      <c r="I36" s="16" t="n"/>
      <c r="J36" s="12" t="n"/>
      <c r="K36" s="12" t="n"/>
      <c r="L36" s="17">
        <f>IF(A36="","",DAYS(TODAY(),J36))</f>
        <v/>
      </c>
      <c r="M36" s="12" t="n"/>
    </row>
    <row r="37">
      <c r="A37" s="8" t="n"/>
      <c r="B37" s="8" t="n"/>
      <c r="C37" s="8" t="n"/>
      <c r="D37" s="8" t="n"/>
      <c r="E37" s="8" t="n"/>
      <c r="F37" s="8" t="n"/>
      <c r="G37" s="8" t="n"/>
      <c r="H37" s="18" t="n"/>
      <c r="I37" s="18" t="n"/>
      <c r="J37" s="8" t="n"/>
      <c r="K37" s="8" t="n"/>
      <c r="L37" s="19">
        <f>IF(A37="","",DAYS(TODAY(),J37))</f>
        <v/>
      </c>
      <c r="M37" s="8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6" t="n"/>
      <c r="I38" s="16" t="n"/>
      <c r="J38" s="12" t="n"/>
      <c r="K38" s="12" t="n"/>
      <c r="L38" s="17">
        <f>IF(A38="","",DAYS(TODAY(),J38))</f>
        <v/>
      </c>
      <c r="M38" s="12" t="n"/>
    </row>
    <row r="39">
      <c r="A39" s="8" t="n"/>
      <c r="B39" s="8" t="n"/>
      <c r="C39" s="8" t="n"/>
      <c r="D39" s="8" t="n"/>
      <c r="E39" s="8" t="n"/>
      <c r="F39" s="8" t="n"/>
      <c r="G39" s="8" t="n"/>
      <c r="H39" s="18" t="n"/>
      <c r="I39" s="18" t="n"/>
      <c r="J39" s="8" t="n"/>
      <c r="K39" s="8" t="n"/>
      <c r="L39" s="19">
        <f>IF(A39="","",DAYS(TODAY(),J39))</f>
        <v/>
      </c>
      <c r="M39" s="8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6" t="n"/>
      <c r="I40" s="16" t="n"/>
      <c r="J40" s="12" t="n"/>
      <c r="K40" s="12" t="n"/>
      <c r="L40" s="17">
        <f>IF(A40="","",DAYS(TODAY(),J40))</f>
        <v/>
      </c>
      <c r="M40" s="12" t="n"/>
    </row>
    <row r="41">
      <c r="A41" s="8" t="n"/>
      <c r="B41" s="8" t="n"/>
      <c r="C41" s="8" t="n"/>
      <c r="D41" s="8" t="n"/>
      <c r="E41" s="8" t="n"/>
      <c r="F41" s="8" t="n"/>
      <c r="G41" s="8" t="n"/>
      <c r="H41" s="18" t="n"/>
      <c r="I41" s="18" t="n"/>
      <c r="J41" s="8" t="n"/>
      <c r="K41" s="8" t="n"/>
      <c r="L41" s="19">
        <f>IF(A41="","",DAYS(TODAY(),J41))</f>
        <v/>
      </c>
      <c r="M41" s="8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6" t="n"/>
      <c r="I42" s="16" t="n"/>
      <c r="J42" s="12" t="n"/>
      <c r="K42" s="12" t="n"/>
      <c r="L42" s="17">
        <f>IF(A42="","",DAYS(TODAY(),J42))</f>
        <v/>
      </c>
      <c r="M42" s="12" t="n"/>
    </row>
    <row r="43">
      <c r="A43" s="8" t="n"/>
      <c r="B43" s="8" t="n"/>
      <c r="C43" s="8" t="n"/>
      <c r="D43" s="8" t="n"/>
      <c r="E43" s="8" t="n"/>
      <c r="F43" s="8" t="n"/>
      <c r="G43" s="8" t="n"/>
      <c r="H43" s="18" t="n"/>
      <c r="I43" s="18" t="n"/>
      <c r="J43" s="8" t="n"/>
      <c r="K43" s="8" t="n"/>
      <c r="L43" s="19">
        <f>IF(A43="","",DAYS(TODAY(),J43))</f>
        <v/>
      </c>
      <c r="M43" s="8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6" t="n"/>
      <c r="I44" s="16" t="n"/>
      <c r="J44" s="12" t="n"/>
      <c r="K44" s="12" t="n"/>
      <c r="L44" s="17">
        <f>IF(A44="","",DAYS(TODAY(),J44))</f>
        <v/>
      </c>
      <c r="M44" s="12" t="n"/>
    </row>
    <row r="45">
      <c r="A45" s="8" t="n"/>
      <c r="B45" s="8" t="n"/>
      <c r="C45" s="8" t="n"/>
      <c r="D45" s="8" t="n"/>
      <c r="E45" s="8" t="n"/>
      <c r="F45" s="8" t="n"/>
      <c r="G45" s="8" t="n"/>
      <c r="H45" s="18" t="n"/>
      <c r="I45" s="18" t="n"/>
      <c r="J45" s="8" t="n"/>
      <c r="K45" s="8" t="n"/>
      <c r="L45" s="19">
        <f>IF(A45="","",DAYS(TODAY(),J45))</f>
        <v/>
      </c>
      <c r="M45" s="8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6" t="n"/>
      <c r="I46" s="16" t="n"/>
      <c r="J46" s="12" t="n"/>
      <c r="K46" s="12" t="n"/>
      <c r="L46" s="17">
        <f>IF(A46="","",DAYS(TODAY(),J46))</f>
        <v/>
      </c>
      <c r="M46" s="12" t="n"/>
    </row>
    <row r="47">
      <c r="A47" s="8" t="n"/>
      <c r="B47" s="8" t="n"/>
      <c r="C47" s="8" t="n"/>
      <c r="D47" s="8" t="n"/>
      <c r="E47" s="8" t="n"/>
      <c r="F47" s="8" t="n"/>
      <c r="G47" s="8" t="n"/>
      <c r="H47" s="18" t="n"/>
      <c r="I47" s="18" t="n"/>
      <c r="J47" s="8" t="n"/>
      <c r="K47" s="8" t="n"/>
      <c r="L47" s="19">
        <f>IF(A47="","",DAYS(TODAY(),J47))</f>
        <v/>
      </c>
      <c r="M47" s="8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6" t="n"/>
      <c r="I48" s="16" t="n"/>
      <c r="J48" s="12" t="n"/>
      <c r="K48" s="12" t="n"/>
      <c r="L48" s="17">
        <f>IF(A48="","",DAYS(TODAY(),J48))</f>
        <v/>
      </c>
      <c r="M48" s="12" t="n"/>
    </row>
    <row r="49">
      <c r="A49" s="8" t="n"/>
      <c r="B49" s="8" t="n"/>
      <c r="C49" s="8" t="n"/>
      <c r="D49" s="8" t="n"/>
      <c r="E49" s="8" t="n"/>
      <c r="F49" s="8" t="n"/>
      <c r="G49" s="8" t="n"/>
      <c r="H49" s="18" t="n"/>
      <c r="I49" s="18" t="n"/>
      <c r="J49" s="8" t="n"/>
      <c r="K49" s="8" t="n"/>
      <c r="L49" s="19">
        <f>IF(A49="","",DAYS(TODAY(),J49))</f>
        <v/>
      </c>
      <c r="M49" s="8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6" t="n"/>
      <c r="I50" s="16" t="n"/>
      <c r="J50" s="12" t="n"/>
      <c r="K50" s="12" t="n"/>
      <c r="L50" s="17">
        <f>IF(A50="","",DAYS(TODAY(),J50))</f>
        <v/>
      </c>
      <c r="M50" s="12" t="n"/>
    </row>
    <row r="51">
      <c r="A51" s="8" t="n"/>
      <c r="B51" s="8" t="n"/>
      <c r="C51" s="8" t="n"/>
      <c r="D51" s="8" t="n"/>
      <c r="E51" s="8" t="n"/>
      <c r="F51" s="8" t="n"/>
      <c r="G51" s="8" t="n"/>
      <c r="H51" s="18" t="n"/>
      <c r="I51" s="18" t="n"/>
      <c r="J51" s="8" t="n"/>
      <c r="K51" s="8" t="n"/>
      <c r="L51" s="19">
        <f>IF(A51="","",DAYS(TODAY(),J51))</f>
        <v/>
      </c>
      <c r="M51" s="8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6" t="n"/>
      <c r="I52" s="16" t="n"/>
      <c r="J52" s="12" t="n"/>
      <c r="K52" s="12" t="n"/>
      <c r="L52" s="17">
        <f>IF(A52="","",DAYS(TODAY(),J52))</f>
        <v/>
      </c>
      <c r="M52" s="12" t="n"/>
    </row>
    <row r="53">
      <c r="A53" s="8" t="n"/>
      <c r="B53" s="8" t="n"/>
      <c r="C53" s="8" t="n"/>
      <c r="D53" s="8" t="n"/>
      <c r="E53" s="8" t="n"/>
      <c r="F53" s="8" t="n"/>
      <c r="G53" s="8" t="n"/>
      <c r="H53" s="18" t="n"/>
      <c r="I53" s="18" t="n"/>
      <c r="J53" s="8" t="n"/>
      <c r="K53" s="8" t="n"/>
      <c r="L53" s="19">
        <f>IF(A53="","",DAYS(TODAY(),J53))</f>
        <v/>
      </c>
      <c r="M53" s="8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6" t="n"/>
      <c r="I54" s="16" t="n"/>
      <c r="J54" s="12" t="n"/>
      <c r="K54" s="12" t="n"/>
      <c r="L54" s="17">
        <f>IF(A54="","",DAYS(TODAY(),J54))</f>
        <v/>
      </c>
      <c r="M54" s="12" t="n"/>
    </row>
    <row r="55">
      <c r="A55" s="8" t="n"/>
      <c r="B55" s="8" t="n"/>
      <c r="C55" s="8" t="n"/>
      <c r="D55" s="8" t="n"/>
      <c r="E55" s="8" t="n"/>
      <c r="F55" s="8" t="n"/>
      <c r="G55" s="8" t="n"/>
      <c r="H55" s="18" t="n"/>
      <c r="I55" s="18" t="n"/>
      <c r="J55" s="8" t="n"/>
      <c r="K55" s="8" t="n"/>
      <c r="L55" s="19">
        <f>IF(A55="","",DAYS(TODAY(),J55))</f>
        <v/>
      </c>
      <c r="M55" s="8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6" t="n"/>
      <c r="I56" s="16" t="n"/>
      <c r="J56" s="12" t="n"/>
      <c r="K56" s="12" t="n"/>
      <c r="L56" s="17">
        <f>IF(A56="","",DAYS(TODAY(),J56))</f>
        <v/>
      </c>
      <c r="M56" s="12" t="n"/>
    </row>
    <row r="57">
      <c r="A57" s="8" t="n"/>
      <c r="B57" s="8" t="n"/>
      <c r="C57" s="8" t="n"/>
      <c r="D57" s="8" t="n"/>
      <c r="E57" s="8" t="n"/>
      <c r="F57" s="8" t="n"/>
      <c r="G57" s="8" t="n"/>
      <c r="H57" s="18" t="n"/>
      <c r="I57" s="18" t="n"/>
      <c r="J57" s="8" t="n"/>
      <c r="K57" s="8" t="n"/>
      <c r="L57" s="19">
        <f>IF(A57="","",DAYS(TODAY(),J57))</f>
        <v/>
      </c>
      <c r="M57" s="8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6" t="n"/>
      <c r="I58" s="16" t="n"/>
      <c r="J58" s="12" t="n"/>
      <c r="K58" s="12" t="n"/>
      <c r="L58" s="17">
        <f>IF(A58="","",DAYS(TODAY(),J58))</f>
        <v/>
      </c>
      <c r="M58" s="12" t="n"/>
    </row>
    <row r="59">
      <c r="A59" s="8" t="n"/>
      <c r="B59" s="8" t="n"/>
      <c r="C59" s="8" t="n"/>
      <c r="D59" s="8" t="n"/>
      <c r="E59" s="8" t="n"/>
      <c r="F59" s="8" t="n"/>
      <c r="G59" s="8" t="n"/>
      <c r="H59" s="18" t="n"/>
      <c r="I59" s="18" t="n"/>
      <c r="J59" s="8" t="n"/>
      <c r="K59" s="8" t="n"/>
      <c r="L59" s="19">
        <f>IF(A59="","",DAYS(TODAY(),J59))</f>
        <v/>
      </c>
      <c r="M59" s="8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6" t="n"/>
      <c r="I60" s="16" t="n"/>
      <c r="J60" s="12" t="n"/>
      <c r="K60" s="12" t="n"/>
      <c r="L60" s="17">
        <f>IF(A60="","",DAYS(TODAY(),J60))</f>
        <v/>
      </c>
      <c r="M60" s="12" t="n"/>
    </row>
    <row r="61">
      <c r="A61" s="8" t="n"/>
      <c r="B61" s="8" t="n"/>
      <c r="C61" s="8" t="n"/>
      <c r="D61" s="8" t="n"/>
      <c r="E61" s="8" t="n"/>
      <c r="F61" s="8" t="n"/>
      <c r="G61" s="8" t="n"/>
      <c r="H61" s="18" t="n"/>
      <c r="I61" s="18" t="n"/>
      <c r="J61" s="8" t="n"/>
      <c r="K61" s="8" t="n"/>
      <c r="L61" s="19">
        <f>IF(A61="","",DAYS(TODAY(),J61))</f>
        <v/>
      </c>
      <c r="M61" s="8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6" t="n"/>
      <c r="I62" s="16" t="n"/>
      <c r="J62" s="12" t="n"/>
      <c r="K62" s="12" t="n"/>
      <c r="L62" s="17">
        <f>IF(A62="","",DAYS(TODAY(),J62))</f>
        <v/>
      </c>
      <c r="M62" s="12" t="n"/>
    </row>
    <row r="63">
      <c r="A63" s="8" t="n"/>
      <c r="B63" s="8" t="n"/>
      <c r="C63" s="8" t="n"/>
      <c r="D63" s="8" t="n"/>
      <c r="E63" s="8" t="n"/>
      <c r="F63" s="8" t="n"/>
      <c r="G63" s="8" t="n"/>
      <c r="H63" s="18" t="n"/>
      <c r="I63" s="18" t="n"/>
      <c r="J63" s="8" t="n"/>
      <c r="K63" s="8" t="n"/>
      <c r="L63" s="19">
        <f>IF(A63="","",DAYS(TODAY(),J63))</f>
        <v/>
      </c>
      <c r="M63" s="8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6" t="n"/>
      <c r="I64" s="16" t="n"/>
      <c r="J64" s="12" t="n"/>
      <c r="K64" s="12" t="n"/>
      <c r="L64" s="17">
        <f>IF(A64="","",DAYS(TODAY(),J64))</f>
        <v/>
      </c>
      <c r="M64" s="12" t="n"/>
    </row>
    <row r="65">
      <c r="A65" s="8" t="n"/>
      <c r="B65" s="8" t="n"/>
      <c r="C65" s="8" t="n"/>
      <c r="D65" s="8" t="n"/>
      <c r="E65" s="8" t="n"/>
      <c r="F65" s="8" t="n"/>
      <c r="G65" s="8" t="n"/>
      <c r="H65" s="18" t="n"/>
      <c r="I65" s="18" t="n"/>
      <c r="J65" s="8" t="n"/>
      <c r="K65" s="8" t="n"/>
      <c r="L65" s="19">
        <f>IF(A65="","",DAYS(TODAY(),J65))</f>
        <v/>
      </c>
      <c r="M65" s="8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6" t="n"/>
      <c r="I66" s="16" t="n"/>
      <c r="J66" s="12" t="n"/>
      <c r="K66" s="12" t="n"/>
      <c r="L66" s="17">
        <f>IF(A66="","",DAYS(TODAY(),J66))</f>
        <v/>
      </c>
      <c r="M66" s="12" t="n"/>
    </row>
    <row r="67">
      <c r="A67" s="8" t="n"/>
      <c r="B67" s="8" t="n"/>
      <c r="C67" s="8" t="n"/>
      <c r="D67" s="8" t="n"/>
      <c r="E67" s="8" t="n"/>
      <c r="F67" s="8" t="n"/>
      <c r="G67" s="8" t="n"/>
      <c r="H67" s="18" t="n"/>
      <c r="I67" s="18" t="n"/>
      <c r="J67" s="8" t="n"/>
      <c r="K67" s="8" t="n"/>
      <c r="L67" s="19">
        <f>IF(A67="","",DAYS(TODAY(),J67))</f>
        <v/>
      </c>
      <c r="M67" s="8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6" t="n"/>
      <c r="I68" s="16" t="n"/>
      <c r="J68" s="12" t="n"/>
      <c r="K68" s="12" t="n"/>
      <c r="L68" s="17">
        <f>IF(A68="","",DAYS(TODAY(),J68))</f>
        <v/>
      </c>
      <c r="M68" s="12" t="n"/>
    </row>
    <row r="69">
      <c r="A69" s="8" t="n"/>
      <c r="B69" s="8" t="n"/>
      <c r="C69" s="8" t="n"/>
      <c r="D69" s="8" t="n"/>
      <c r="E69" s="8" t="n"/>
      <c r="F69" s="8" t="n"/>
      <c r="G69" s="8" t="n"/>
      <c r="H69" s="18" t="n"/>
      <c r="I69" s="18" t="n"/>
      <c r="J69" s="8" t="n"/>
      <c r="K69" s="8" t="n"/>
      <c r="L69" s="19">
        <f>IF(A69="","",DAYS(TODAY(),J69))</f>
        <v/>
      </c>
      <c r="M69" s="8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6" t="n"/>
      <c r="I70" s="16" t="n"/>
      <c r="J70" s="12" t="n"/>
      <c r="K70" s="12" t="n"/>
      <c r="L70" s="17">
        <f>IF(A70="","",DAYS(TODAY(),J70))</f>
        <v/>
      </c>
      <c r="M70" s="12" t="n"/>
    </row>
    <row r="71">
      <c r="A71" s="8" t="n"/>
      <c r="B71" s="8" t="n"/>
      <c r="C71" s="8" t="n"/>
      <c r="D71" s="8" t="n"/>
      <c r="E71" s="8" t="n"/>
      <c r="F71" s="8" t="n"/>
      <c r="G71" s="8" t="n"/>
      <c r="H71" s="18" t="n"/>
      <c r="I71" s="18" t="n"/>
      <c r="J71" s="8" t="n"/>
      <c r="K71" s="8" t="n"/>
      <c r="L71" s="19">
        <f>IF(A71="","",DAYS(TODAY(),J71))</f>
        <v/>
      </c>
      <c r="M71" s="8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6" t="n"/>
      <c r="I72" s="16" t="n"/>
      <c r="J72" s="12" t="n"/>
      <c r="K72" s="12" t="n"/>
      <c r="L72" s="17">
        <f>IF(A72="","",DAYS(TODAY(),J72))</f>
        <v/>
      </c>
      <c r="M72" s="12" t="n"/>
    </row>
    <row r="73">
      <c r="A73" s="8" t="n"/>
      <c r="B73" s="8" t="n"/>
      <c r="C73" s="8" t="n"/>
      <c r="D73" s="8" t="n"/>
      <c r="E73" s="8" t="n"/>
      <c r="F73" s="8" t="n"/>
      <c r="G73" s="8" t="n"/>
      <c r="H73" s="18" t="n"/>
      <c r="I73" s="18" t="n"/>
      <c r="J73" s="8" t="n"/>
      <c r="K73" s="8" t="n"/>
      <c r="L73" s="19">
        <f>IF(A73="","",DAYS(TODAY(),J73))</f>
        <v/>
      </c>
      <c r="M73" s="8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6" t="n"/>
      <c r="I74" s="16" t="n"/>
      <c r="J74" s="12" t="n"/>
      <c r="K74" s="12" t="n"/>
      <c r="L74" s="17">
        <f>IF(A74="","",DAYS(TODAY(),J74))</f>
        <v/>
      </c>
      <c r="M74" s="12" t="n"/>
    </row>
    <row r="75">
      <c r="A75" s="8" t="n"/>
      <c r="B75" s="8" t="n"/>
      <c r="C75" s="8" t="n"/>
      <c r="D75" s="8" t="n"/>
      <c r="E75" s="8" t="n"/>
      <c r="F75" s="8" t="n"/>
      <c r="G75" s="8" t="n"/>
      <c r="H75" s="18" t="n"/>
      <c r="I75" s="18" t="n"/>
      <c r="J75" s="8" t="n"/>
      <c r="K75" s="8" t="n"/>
      <c r="L75" s="19">
        <f>IF(A75="","",DAYS(TODAY(),J75))</f>
        <v/>
      </c>
      <c r="M75" s="8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6" t="n"/>
      <c r="I76" s="16" t="n"/>
      <c r="J76" s="12" t="n"/>
      <c r="K76" s="12" t="n"/>
      <c r="L76" s="17">
        <f>IF(A76="","",DAYS(TODAY(),J76))</f>
        <v/>
      </c>
      <c r="M76" s="12" t="n"/>
    </row>
    <row r="77">
      <c r="A77" s="8" t="n"/>
      <c r="B77" s="8" t="n"/>
      <c r="C77" s="8" t="n"/>
      <c r="D77" s="8" t="n"/>
      <c r="E77" s="8" t="n"/>
      <c r="F77" s="8" t="n"/>
      <c r="G77" s="8" t="n"/>
      <c r="H77" s="18" t="n"/>
      <c r="I77" s="18" t="n"/>
      <c r="J77" s="8" t="n"/>
      <c r="K77" s="8" t="n"/>
      <c r="L77" s="19">
        <f>IF(A77="","",DAYS(TODAY(),J77))</f>
        <v/>
      </c>
      <c r="M77" s="8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6" t="n"/>
      <c r="I78" s="16" t="n"/>
      <c r="J78" s="12" t="n"/>
      <c r="K78" s="12" t="n"/>
      <c r="L78" s="17">
        <f>IF(A78="","",DAYS(TODAY(),J78))</f>
        <v/>
      </c>
      <c r="M78" s="12" t="n"/>
    </row>
    <row r="79">
      <c r="A79" s="8" t="n"/>
      <c r="B79" s="8" t="n"/>
      <c r="C79" s="8" t="n"/>
      <c r="D79" s="8" t="n"/>
      <c r="E79" s="8" t="n"/>
      <c r="F79" s="8" t="n"/>
      <c r="G79" s="8" t="n"/>
      <c r="H79" s="18" t="n"/>
      <c r="I79" s="18" t="n"/>
      <c r="J79" s="8" t="n"/>
      <c r="K79" s="8" t="n"/>
      <c r="L79" s="19">
        <f>IF(A79="","",DAYS(TODAY(),J79))</f>
        <v/>
      </c>
      <c r="M79" s="8" t="n"/>
    </row>
  </sheetData>
  <autoFilter ref="A4:M80"/>
  <mergeCells count="1">
    <mergeCell ref="A1:M1"/>
  </mergeCells>
  <conditionalFormatting sqref="F5:F80">
    <cfRule type="cellIs" priority="1" operator="equal" dxfId="0">
      <formula>"New Lead"</formula>
    </cfRule>
    <cfRule type="cellIs" priority="2" operator="equal" dxfId="1">
      <formula>"Contacted"</formula>
    </cfRule>
    <cfRule type="cellIs" priority="3" operator="equal" dxfId="2">
      <formula>"Discovery Call"</formula>
    </cfRule>
    <cfRule type="cellIs" priority="4" operator="equal" dxfId="3">
      <formula>"Needs Analysis"</formula>
    </cfRule>
    <cfRule type="cellIs" priority="5" operator="equal" dxfId="4">
      <formula>"Plan Presentation"</formula>
    </cfRule>
    <cfRule type="cellIs" priority="6" operator="equal" dxfId="5">
      <formula>"Proposal Sent"</formula>
    </cfRule>
    <cfRule type="cellIs" priority="7" operator="equal" dxfId="6">
      <formula>"Negotiation"</formula>
    </cfRule>
    <cfRule type="cellIs" priority="8" operator="equal" dxfId="7">
      <formula>"Closed-Won"</formula>
    </cfRule>
    <cfRule type="cellIs" priority="9" operator="equal" dxfId="8">
      <formula>"Closed-Lost"</formula>
    </cfRule>
    <cfRule type="cellIs" priority="10" operator="equal" dxfId="9">
      <formula>"Nurture"</formula>
    </cfRule>
  </conditionalFormatting>
  <conditionalFormatting sqref="E5:E80">
    <cfRule type="cellIs" priority="11" operator="equal" dxfId="6">
      <formula>"Hot"</formula>
    </cfRule>
    <cfRule type="cellIs" priority="12" operator="equal" dxfId="4">
      <formula>"Warm"</formula>
    </cfRule>
    <cfRule type="cellIs" priority="13" operator="equal" dxfId="1">
      <formula>"Cold"</formula>
    </cfRule>
  </conditionalFormatting>
  <conditionalFormatting sqref="K5:K80">
    <cfRule type="expression" priority="14" dxfId="10">
      <formula>AND(K5&lt;&gt;"",K5&lt;TODAY())</formula>
    </cfRule>
  </conditionalFormatting>
  <conditionalFormatting sqref="L5:L80">
    <cfRule type="dataBar" priority="15">
      <dataBar>
        <cfvo type="num" val="0"/>
        <cfvo type="num" val="90"/>
        <color rgb="003498DB"/>
      </dataBar>
    </cfRule>
  </conditionalFormatting>
  <dataValidations count="4">
    <dataValidation sqref="F5:F80" showDropDown="0" showInputMessage="0" showErrorMessage="0" allowBlank="1" type="list">
      <formula1>"New Lead,Contacted,Discovery Call,Needs Analysis,Plan Presentation,Proposal Sent,Negotiation,Closed-Won,Closed-Lost,Nurture"</formula1>
    </dataValidation>
    <dataValidation sqref="D5:D80" showDropDown="0" showInputMessage="0" showErrorMessage="0" allowBlank="1" type="list">
      <formula1>"Referral,Website,Social Media,Seminar,Cold Outreach,LinkedIn,Podcast,Networking,Centre of Influence,Other"</formula1>
    </dataValidation>
    <dataValidation sqref="E5:E80" showDropDown="0" showInputMessage="0" showErrorMessage="0" allowBlank="1" type="list">
      <formula1>"Hot,Warm,Cold"</formula1>
    </dataValidation>
    <dataValidation sqref="G5:G80" showDropDown="0" showInputMessage="0" showErrorMessage="0" allowBlank="1" type="list">
      <formula1>"Life Insurance,Wealth Management,Life Insurance + Wealth,Disability Insurance,Critical Illness,Group Benefits,Estate Planning,Other"</formula1>
    </dataValidation>
  </dataValidations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0F1B2D"/>
    <outlinePr summaryBelow="1" summaryRight="1"/>
    <pageSetUpPr fitToPage="1"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50" customHeight="1">
      <c r="A1" s="1" t="inlineStr">
        <is>
          <t>PIPELINE DASHBOARD</t>
        </is>
      </c>
    </row>
    <row r="3">
      <c r="A3" s="20" t="inlineStr">
        <is>
          <t>TOTAL PIPELINE</t>
        </is>
      </c>
      <c r="C3" s="20" t="inlineStr">
        <is>
          <t>EST. REVENUE</t>
        </is>
      </c>
      <c r="E3" s="20" t="inlineStr">
        <is>
          <t>WON REVENUE</t>
        </is>
      </c>
      <c r="G3" s="20" t="inlineStr">
        <is>
          <t>WIN RATE</t>
        </is>
      </c>
    </row>
    <row r="4" ht="50" customHeight="1">
      <c r="A4" s="21">
        <f>SUMPRODUCT((Pipeline!F5:F80&lt;&gt;"Closed-Won")*(Pipeline!F5:F80&lt;&gt;"Closed-Lost")*(Pipeline!F5:F80&lt;&gt;"")*Pipeline!H5:H80)</f>
        <v/>
      </c>
      <c r="C4" s="22">
        <f>SUMPRODUCT((Pipeline!F5:F80&lt;&gt;"Closed-Won")*(Pipeline!F5:F80&lt;&gt;"Closed-Lost")*(Pipeline!F5:F80&lt;&gt;"")*Pipeline!I5:I80)</f>
        <v/>
      </c>
      <c r="E4" s="23">
        <f>SUMIF(Pipeline!F5:F80,"Closed-Won",Pipeline!I5:I80)</f>
        <v/>
      </c>
      <c r="G4" s="24">
        <f>IFERROR(COUNTIF(Pipeline!F5:F80,"Closed-Won")/(COUNTIF(Pipeline!F5:F80,"Closed-Won")+COUNTIF(Pipeline!F5:F80,"Closed-Lost")),0)</f>
        <v/>
      </c>
    </row>
    <row r="5">
      <c r="A5" s="25" t="n"/>
      <c r="B5" s="25" t="n"/>
      <c r="C5" s="26" t="n"/>
      <c r="D5" s="26" t="n"/>
      <c r="E5" s="27" t="n"/>
      <c r="F5" s="27" t="n"/>
      <c r="G5" s="28" t="n"/>
      <c r="H5" s="28" t="n"/>
    </row>
    <row r="20">
      <c r="A20" s="29" t="inlineStr">
        <is>
          <t>Stage</t>
        </is>
      </c>
      <c r="B20" s="29" t="inlineStr">
        <is>
          <t>Count</t>
        </is>
      </c>
      <c r="C20" s="29" t="inlineStr">
        <is>
          <t>Revenue</t>
        </is>
      </c>
    </row>
    <row r="21">
      <c r="A21" t="inlineStr">
        <is>
          <t>New Lead</t>
        </is>
      </c>
      <c r="B21">
        <f>COUNTIF(Pipeline!F5:F80,A21)</f>
        <v/>
      </c>
      <c r="C21" s="30">
        <f>SUMIF(Pipeline!F5:F80,A21,Pipeline!I5:I80)</f>
        <v/>
      </c>
    </row>
    <row r="22">
      <c r="A22" t="inlineStr">
        <is>
          <t>Contacted</t>
        </is>
      </c>
      <c r="B22">
        <f>COUNTIF(Pipeline!F5:F80,A22)</f>
        <v/>
      </c>
      <c r="C22" s="30">
        <f>SUMIF(Pipeline!F5:F80,A22,Pipeline!I5:I80)</f>
        <v/>
      </c>
    </row>
    <row r="23">
      <c r="A23" t="inlineStr">
        <is>
          <t>Discovery Call</t>
        </is>
      </c>
      <c r="B23">
        <f>COUNTIF(Pipeline!F5:F80,A23)</f>
        <v/>
      </c>
      <c r="C23" s="30">
        <f>SUMIF(Pipeline!F5:F80,A23,Pipeline!I5:I80)</f>
        <v/>
      </c>
    </row>
    <row r="24">
      <c r="A24" t="inlineStr">
        <is>
          <t>Needs Analysis</t>
        </is>
      </c>
      <c r="B24">
        <f>COUNTIF(Pipeline!F5:F80,A24)</f>
        <v/>
      </c>
      <c r="C24" s="30">
        <f>SUMIF(Pipeline!F5:F80,A24,Pipeline!I5:I80)</f>
        <v/>
      </c>
    </row>
    <row r="25">
      <c r="A25" t="inlineStr">
        <is>
          <t>Plan Presentation</t>
        </is>
      </c>
      <c r="B25">
        <f>COUNTIF(Pipeline!F5:F80,A25)</f>
        <v/>
      </c>
      <c r="C25" s="30">
        <f>SUMIF(Pipeline!F5:F80,A25,Pipeline!I5:I80)</f>
        <v/>
      </c>
    </row>
    <row r="26">
      <c r="A26" t="inlineStr">
        <is>
          <t>Proposal Sent</t>
        </is>
      </c>
      <c r="B26">
        <f>COUNTIF(Pipeline!F5:F80,A26)</f>
        <v/>
      </c>
      <c r="C26" s="30">
        <f>SUMIF(Pipeline!F5:F80,A26,Pipeline!I5:I80)</f>
        <v/>
      </c>
    </row>
    <row r="27">
      <c r="A27" t="inlineStr">
        <is>
          <t>Negotiation</t>
        </is>
      </c>
      <c r="B27">
        <f>COUNTIF(Pipeline!F5:F80,A27)</f>
        <v/>
      </c>
      <c r="C27" s="30">
        <f>SUMIF(Pipeline!F5:F80,A27,Pipeline!I5:I80)</f>
        <v/>
      </c>
    </row>
    <row r="28">
      <c r="A28" t="inlineStr">
        <is>
          <t>Closed-Won</t>
        </is>
      </c>
      <c r="B28">
        <f>COUNTIF(Pipeline!F5:F80,A28)</f>
        <v/>
      </c>
      <c r="C28" s="30">
        <f>SUMIF(Pipeline!F5:F80,A28,Pipeline!I5:I80)</f>
        <v/>
      </c>
    </row>
    <row r="29">
      <c r="A29" t="inlineStr">
        <is>
          <t>Closed-Lost</t>
        </is>
      </c>
      <c r="B29">
        <f>COUNTIF(Pipeline!F5:F80,A29)</f>
        <v/>
      </c>
      <c r="C29" s="30">
        <f>SUMIF(Pipeline!F5:F80,A29,Pipeline!I5:I80)</f>
        <v/>
      </c>
    </row>
    <row r="30">
      <c r="A30" t="inlineStr">
        <is>
          <t>Nurture</t>
        </is>
      </c>
      <c r="B30">
        <f>COUNTIF(Pipeline!F5:F80,A30)</f>
        <v/>
      </c>
      <c r="C30" s="30">
        <f>SUMIF(Pipeline!F5:F80,A30,Pipeline!I5:I80)</f>
        <v/>
      </c>
    </row>
    <row r="33">
      <c r="A33" s="29" t="inlineStr">
        <is>
          <t>Source</t>
        </is>
      </c>
      <c r="B33" s="29" t="inlineStr">
        <is>
          <t>Count</t>
        </is>
      </c>
    </row>
    <row r="34">
      <c r="A34" t="inlineStr">
        <is>
          <t>Referral</t>
        </is>
      </c>
      <c r="B34">
        <f>COUNTIF(Pipeline!D5:D80,A34)</f>
        <v/>
      </c>
    </row>
    <row r="35">
      <c r="A35" t="inlineStr">
        <is>
          <t>Website</t>
        </is>
      </c>
      <c r="B35">
        <f>COUNTIF(Pipeline!D5:D80,A35)</f>
        <v/>
      </c>
    </row>
    <row r="36">
      <c r="A36" t="inlineStr">
        <is>
          <t>Social Media</t>
        </is>
      </c>
      <c r="B36">
        <f>COUNTIF(Pipeline!D5:D80,A36)</f>
        <v/>
      </c>
    </row>
    <row r="37" ht="32" customHeight="1">
      <c r="A37" s="31" t="inlineStr">
        <is>
          <t>FOLLOW-UP STATUS</t>
        </is>
      </c>
    </row>
    <row r="38">
      <c r="A38" s="32" t="inlineStr">
        <is>
          <t>Overdue Follow-Ups</t>
        </is>
      </c>
      <c r="B38" s="33" t="n"/>
      <c r="C38" s="34" t="n"/>
      <c r="D38" s="35">
        <f>COUNTIFS(Pipeline!K5:K80,"&lt;"&amp;TODAY(),Pipeline!K5:K80,"&lt;&gt;",Pipeline!F5:F80,"&lt;&gt;Closed-Won",Pipeline!F5:F80,"&lt;&gt;Closed-Lost")</f>
        <v/>
      </c>
    </row>
    <row r="39">
      <c r="A39" s="32" t="inlineStr">
        <is>
          <t>Due Today</t>
        </is>
      </c>
      <c r="B39" s="33" t="n"/>
      <c r="C39" s="34" t="n"/>
      <c r="D39" s="35">
        <f>COUNTIFS(Pipeline!K5:K80,TODAY(),Pipeline!F5:F80,"&lt;&gt;Closed-Won")</f>
        <v/>
      </c>
    </row>
    <row r="40">
      <c r="A40" s="32" t="inlineStr">
        <is>
          <t>Due This Week</t>
        </is>
      </c>
      <c r="B40" s="33" t="n"/>
      <c r="C40" s="34" t="n"/>
      <c r="D40" s="35">
        <f>COUNTIFS(Pipeline!K5:K80,"&gt;="&amp;TODAY(),Pipeline!K5:K80,"&lt;="&amp;(TODAY()+7),Pipeline!F5:F80,"&lt;&gt;Closed-Won")</f>
        <v/>
      </c>
    </row>
    <row r="41">
      <c r="A41" t="inlineStr">
        <is>
          <t>Networking</t>
        </is>
      </c>
      <c r="B41">
        <f>COUNTIF(Pipeline!D5:D80,A41)</f>
        <v/>
      </c>
    </row>
    <row r="42">
      <c r="A42" t="inlineStr">
        <is>
          <t>Centre of Influence</t>
        </is>
      </c>
      <c r="B42">
        <f>COUNTIF(Pipeline!D5:D80,A42)</f>
        <v/>
      </c>
    </row>
    <row r="45">
      <c r="A45" s="29" t="inlineStr">
        <is>
          <t>Product</t>
        </is>
      </c>
      <c r="B45" s="29" t="inlineStr">
        <is>
          <t>Count</t>
        </is>
      </c>
      <c r="C45" s="29" t="inlineStr">
        <is>
          <t>Revenue</t>
        </is>
      </c>
    </row>
    <row r="46">
      <c r="A46" t="inlineStr">
        <is>
          <t>Life Insurance</t>
        </is>
      </c>
      <c r="B46">
        <f>COUNTIF(Pipeline!G5:G80,A46)</f>
        <v/>
      </c>
      <c r="C46">
        <f>SUMIF(Pipeline!G5:G80,A46,Pipeline!I5:I80)</f>
        <v/>
      </c>
    </row>
    <row r="47">
      <c r="A47" t="inlineStr">
        <is>
          <t>Wealth Management</t>
        </is>
      </c>
      <c r="B47">
        <f>COUNTIF(Pipeline!G5:G80,A47)</f>
        <v/>
      </c>
      <c r="C47">
        <f>SUMIF(Pipeline!G5:G80,A47,Pipeline!I5:I80)</f>
        <v/>
      </c>
    </row>
    <row r="48">
      <c r="A48" t="inlineStr">
        <is>
          <t>Life Insurance + Wealth</t>
        </is>
      </c>
      <c r="B48">
        <f>COUNTIF(Pipeline!G5:G80,A48)</f>
        <v/>
      </c>
      <c r="C48">
        <f>SUMIF(Pipeline!G5:G80,A48,Pipeline!I5:I80)</f>
        <v/>
      </c>
    </row>
    <row r="49">
      <c r="A49" t="inlineStr">
        <is>
          <t>Disability Insurance</t>
        </is>
      </c>
      <c r="B49">
        <f>COUNTIF(Pipeline!G5:G80,A49)</f>
        <v/>
      </c>
      <c r="C49">
        <f>SUMIF(Pipeline!G5:G80,A49,Pipeline!I5:I80)</f>
        <v/>
      </c>
    </row>
    <row r="50">
      <c r="A50" t="inlineStr">
        <is>
          <t>Critical Illness</t>
        </is>
      </c>
      <c r="B50">
        <f>COUNTIF(Pipeline!G5:G80,A50)</f>
        <v/>
      </c>
      <c r="C50">
        <f>SUMIF(Pipeline!G5:G80,A50,Pipeline!I5:I80)</f>
        <v/>
      </c>
    </row>
    <row r="51">
      <c r="A51" t="inlineStr">
        <is>
          <t>Group Benefits</t>
        </is>
      </c>
      <c r="B51">
        <f>COUNTIF(Pipeline!G5:G80,A51)</f>
        <v/>
      </c>
      <c r="C51">
        <f>SUMIF(Pipeline!G5:G80,A51,Pipeline!I5:I80)</f>
        <v/>
      </c>
    </row>
  </sheetData>
  <mergeCells count="13">
    <mergeCell ref="A4:B4"/>
    <mergeCell ref="G4:H4"/>
    <mergeCell ref="E4:F4"/>
    <mergeCell ref="A40:C40"/>
    <mergeCell ref="A38:C38"/>
    <mergeCell ref="A39:C39"/>
    <mergeCell ref="A1:H1"/>
    <mergeCell ref="A37:H37"/>
    <mergeCell ref="C3:D3"/>
    <mergeCell ref="A3:B3"/>
    <mergeCell ref="G3:H3"/>
    <mergeCell ref="E3:F3"/>
    <mergeCell ref="C4:D4"/>
  </mergeCells>
  <pageMargins left="0.75" right="0.75" top="1" bottom="1" header="0.5" footer="0.5"/>
  <pageSetup orientation="landscape" paperSize="1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 fitToPage="1"/>
  </sheetPr>
  <dimension ref="A1:F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5" customWidth="1" min="3" max="3"/>
    <col width="20" customWidth="1" min="4" max="4"/>
    <col width="25" customWidth="1" min="5" max="5"/>
    <col width="35" customWidth="1" min="6" max="6"/>
  </cols>
  <sheetData>
    <row r="1" ht="50" customHeight="1">
      <c r="A1" s="1" t="inlineStr">
        <is>
          <t>DAILY ACTIVITY LOG</t>
        </is>
      </c>
    </row>
    <row r="2">
      <c r="A2" s="7" t="inlineStr">
        <is>
          <t>Date</t>
        </is>
      </c>
      <c r="B2" s="7" t="inlineStr">
        <is>
          <t>Prospect</t>
        </is>
      </c>
      <c r="C2" s="7" t="inlineStr">
        <is>
          <t>What I Did</t>
        </is>
      </c>
      <c r="D2" s="7" t="inlineStr">
        <is>
          <t>Outcome</t>
        </is>
      </c>
      <c r="E2" s="7" t="inlineStr">
        <is>
          <t>Next Step</t>
        </is>
      </c>
      <c r="F2" s="7" t="inlineStr">
        <is>
          <t>Notes</t>
        </is>
      </c>
    </row>
    <row r="3">
      <c r="A3" s="10" t="inlineStr">
        <is>
          <t>2026-03-08</t>
        </is>
      </c>
      <c r="B3" s="8" t="inlineStr">
        <is>
          <t>Priya Patel</t>
        </is>
      </c>
      <c r="C3" s="8" t="inlineStr">
        <is>
          <t>Video call - final proposal</t>
        </is>
      </c>
      <c r="D3" s="8" t="inlineStr">
        <is>
          <t>Reviewing with spouse</t>
        </is>
      </c>
      <c r="E3" s="8" t="inlineStr">
        <is>
          <t>Follow up Monday</t>
        </is>
      </c>
      <c r="F3" s="8" t="inlineStr">
        <is>
          <t>Key person insurance quote included</t>
        </is>
      </c>
    </row>
    <row r="4">
      <c r="A4" s="14" t="inlineStr">
        <is>
          <t>2026-03-07</t>
        </is>
      </c>
      <c r="B4" s="12" t="inlineStr">
        <is>
          <t>Jessica Williams</t>
        </is>
      </c>
      <c r="C4" s="12" t="inlineStr">
        <is>
          <t>Presented full plan</t>
        </is>
      </c>
      <c r="D4" s="12" t="inlineStr">
        <is>
          <t>Loved it, wants to proceed</t>
        </is>
      </c>
      <c r="E4" s="12" t="inlineStr">
        <is>
          <t>Send engagement letter</t>
        </is>
      </c>
      <c r="F4" s="12" t="inlineStr">
        <is>
          <t>Adding $1M term life to plan</t>
        </is>
      </c>
    </row>
    <row r="5">
      <c r="A5" s="10" t="inlineStr">
        <is>
          <t>2026-03-05</t>
        </is>
      </c>
      <c r="B5" s="8" t="inlineStr">
        <is>
          <t>Sarah Johnson</t>
        </is>
      </c>
      <c r="C5" s="8" t="inlineStr">
        <is>
          <t>Discovery call - 45 min</t>
        </is>
      </c>
      <c r="D5" s="8" t="inlineStr">
        <is>
          <t>Good fit, moving forward</t>
        </is>
      </c>
      <c r="E5" s="8" t="inlineStr">
        <is>
          <t>Send needs analysis</t>
        </is>
      </c>
      <c r="F5" s="8" t="inlineStr">
        <is>
          <t>Needs $500K term + RESP + RRSP</t>
        </is>
      </c>
    </row>
    <row r="6">
      <c r="A6" s="14" t="inlineStr">
        <is>
          <t>2026-03-01</t>
        </is>
      </c>
      <c r="B6" s="12" t="inlineStr">
        <is>
          <t>David Chen</t>
        </is>
      </c>
      <c r="C6" s="12" t="inlineStr">
        <is>
          <t>Sent intro email</t>
        </is>
      </c>
      <c r="D6" s="12" t="inlineStr">
        <is>
          <t>Downloaded guide</t>
        </is>
      </c>
      <c r="E6" s="12" t="inlineStr">
        <is>
          <t>Call next week</t>
        </is>
      </c>
      <c r="F6" s="12" t="inlineStr">
        <is>
          <t>From website lead</t>
        </is>
      </c>
    </row>
    <row r="7">
      <c r="A7" s="8" t="n"/>
      <c r="B7" s="8" t="n"/>
      <c r="C7" s="8" t="n"/>
      <c r="D7" s="8" t="n"/>
      <c r="E7" s="8" t="n"/>
      <c r="F7" s="8" t="n"/>
    </row>
    <row r="8">
      <c r="A8" s="12" t="n"/>
      <c r="B8" s="12" t="n"/>
      <c r="C8" s="12" t="n"/>
      <c r="D8" s="12" t="n"/>
      <c r="E8" s="12" t="n"/>
      <c r="F8" s="12" t="n"/>
    </row>
    <row r="9">
      <c r="A9" s="8" t="n"/>
      <c r="B9" s="8" t="n"/>
      <c r="C9" s="8" t="n"/>
      <c r="D9" s="8" t="n"/>
      <c r="E9" s="8" t="n"/>
      <c r="F9" s="8" t="n"/>
    </row>
    <row r="10">
      <c r="A10" s="12" t="n"/>
      <c r="B10" s="12" t="n"/>
      <c r="C10" s="12" t="n"/>
      <c r="D10" s="12" t="n"/>
      <c r="E10" s="12" t="n"/>
      <c r="F10" s="12" t="n"/>
    </row>
    <row r="11">
      <c r="A11" s="8" t="n"/>
      <c r="B11" s="8" t="n"/>
      <c r="C11" s="8" t="n"/>
      <c r="D11" s="8" t="n"/>
      <c r="E11" s="8" t="n"/>
      <c r="F11" s="8" t="n"/>
    </row>
    <row r="12">
      <c r="A12" s="12" t="n"/>
      <c r="B12" s="12" t="n"/>
      <c r="C12" s="12" t="n"/>
      <c r="D12" s="12" t="n"/>
      <c r="E12" s="12" t="n"/>
      <c r="F12" s="12" t="n"/>
    </row>
    <row r="13">
      <c r="A13" s="8" t="n"/>
      <c r="B13" s="8" t="n"/>
      <c r="C13" s="8" t="n"/>
      <c r="D13" s="8" t="n"/>
      <c r="E13" s="8" t="n"/>
      <c r="F13" s="8" t="n"/>
    </row>
    <row r="14">
      <c r="A14" s="12" t="n"/>
      <c r="B14" s="12" t="n"/>
      <c r="C14" s="12" t="n"/>
      <c r="D14" s="12" t="n"/>
      <c r="E14" s="12" t="n"/>
      <c r="F14" s="12" t="n"/>
    </row>
    <row r="15">
      <c r="A15" s="8" t="n"/>
      <c r="B15" s="8" t="n"/>
      <c r="C15" s="8" t="n"/>
      <c r="D15" s="8" t="n"/>
      <c r="E15" s="8" t="n"/>
      <c r="F15" s="8" t="n"/>
    </row>
    <row r="16">
      <c r="A16" s="12" t="n"/>
      <c r="B16" s="12" t="n"/>
      <c r="C16" s="12" t="n"/>
      <c r="D16" s="12" t="n"/>
      <c r="E16" s="12" t="n"/>
      <c r="F16" s="12" t="n"/>
    </row>
    <row r="17">
      <c r="A17" s="8" t="n"/>
      <c r="B17" s="8" t="n"/>
      <c r="C17" s="8" t="n"/>
      <c r="D17" s="8" t="n"/>
      <c r="E17" s="8" t="n"/>
      <c r="F17" s="8" t="n"/>
    </row>
    <row r="18">
      <c r="A18" s="12" t="n"/>
      <c r="B18" s="12" t="n"/>
      <c r="C18" s="12" t="n"/>
      <c r="D18" s="12" t="n"/>
      <c r="E18" s="12" t="n"/>
      <c r="F18" s="12" t="n"/>
    </row>
    <row r="19">
      <c r="A19" s="8" t="n"/>
      <c r="B19" s="8" t="n"/>
      <c r="C19" s="8" t="n"/>
      <c r="D19" s="8" t="n"/>
      <c r="E19" s="8" t="n"/>
      <c r="F19" s="8" t="n"/>
    </row>
    <row r="20">
      <c r="A20" s="12" t="n"/>
      <c r="B20" s="12" t="n"/>
      <c r="C20" s="12" t="n"/>
      <c r="D20" s="12" t="n"/>
      <c r="E20" s="12" t="n"/>
      <c r="F20" s="12" t="n"/>
    </row>
    <row r="21">
      <c r="A21" s="8" t="n"/>
      <c r="B21" s="8" t="n"/>
      <c r="C21" s="8" t="n"/>
      <c r="D21" s="8" t="n"/>
      <c r="E21" s="8" t="n"/>
      <c r="F21" s="8" t="n"/>
    </row>
    <row r="22">
      <c r="A22" s="12" t="n"/>
      <c r="B22" s="12" t="n"/>
      <c r="C22" s="12" t="n"/>
      <c r="D22" s="12" t="n"/>
      <c r="E22" s="12" t="n"/>
      <c r="F22" s="12" t="n"/>
    </row>
    <row r="23">
      <c r="A23" s="8" t="n"/>
      <c r="B23" s="8" t="n"/>
      <c r="C23" s="8" t="n"/>
      <c r="D23" s="8" t="n"/>
      <c r="E23" s="8" t="n"/>
      <c r="F23" s="8" t="n"/>
    </row>
    <row r="24">
      <c r="A24" s="12" t="n"/>
      <c r="B24" s="12" t="n"/>
      <c r="C24" s="12" t="n"/>
      <c r="D24" s="12" t="n"/>
      <c r="E24" s="12" t="n"/>
      <c r="F24" s="12" t="n"/>
    </row>
    <row r="25">
      <c r="A25" s="8" t="n"/>
      <c r="B25" s="8" t="n"/>
      <c r="C25" s="8" t="n"/>
      <c r="D25" s="8" t="n"/>
      <c r="E25" s="8" t="n"/>
      <c r="F25" s="8" t="n"/>
    </row>
    <row r="26">
      <c r="A26" s="12" t="n"/>
      <c r="B26" s="12" t="n"/>
      <c r="C26" s="12" t="n"/>
      <c r="D26" s="12" t="n"/>
      <c r="E26" s="12" t="n"/>
      <c r="F26" s="12" t="n"/>
    </row>
    <row r="27">
      <c r="A27" s="8" t="n"/>
      <c r="B27" s="8" t="n"/>
      <c r="C27" s="8" t="n"/>
      <c r="D27" s="8" t="n"/>
      <c r="E27" s="8" t="n"/>
      <c r="F27" s="8" t="n"/>
    </row>
    <row r="28">
      <c r="A28" s="12" t="n"/>
      <c r="B28" s="12" t="n"/>
      <c r="C28" s="12" t="n"/>
      <c r="D28" s="12" t="n"/>
      <c r="E28" s="12" t="n"/>
      <c r="F28" s="12" t="n"/>
    </row>
    <row r="29">
      <c r="A29" s="8" t="n"/>
      <c r="B29" s="8" t="n"/>
      <c r="C29" s="8" t="n"/>
      <c r="D29" s="8" t="n"/>
      <c r="E29" s="8" t="n"/>
      <c r="F29" s="8" t="n"/>
    </row>
    <row r="30">
      <c r="A30" s="12" t="n"/>
      <c r="B30" s="12" t="n"/>
      <c r="C30" s="12" t="n"/>
      <c r="D30" s="12" t="n"/>
      <c r="E30" s="12" t="n"/>
      <c r="F30" s="12" t="n"/>
    </row>
    <row r="31">
      <c r="A31" s="8" t="n"/>
      <c r="B31" s="8" t="n"/>
      <c r="C31" s="8" t="n"/>
      <c r="D31" s="8" t="n"/>
      <c r="E31" s="8" t="n"/>
      <c r="F31" s="8" t="n"/>
    </row>
    <row r="32">
      <c r="A32" s="12" t="n"/>
      <c r="B32" s="12" t="n"/>
      <c r="C32" s="12" t="n"/>
      <c r="D32" s="12" t="n"/>
      <c r="E32" s="12" t="n"/>
      <c r="F32" s="12" t="n"/>
    </row>
    <row r="33">
      <c r="A33" s="8" t="n"/>
      <c r="B33" s="8" t="n"/>
      <c r="C33" s="8" t="n"/>
      <c r="D33" s="8" t="n"/>
      <c r="E33" s="8" t="n"/>
      <c r="F33" s="8" t="n"/>
    </row>
    <row r="34">
      <c r="A34" s="12" t="n"/>
      <c r="B34" s="12" t="n"/>
      <c r="C34" s="12" t="n"/>
      <c r="D34" s="12" t="n"/>
      <c r="E34" s="12" t="n"/>
      <c r="F34" s="12" t="n"/>
    </row>
    <row r="35">
      <c r="A35" s="8" t="n"/>
      <c r="B35" s="8" t="n"/>
      <c r="C35" s="8" t="n"/>
      <c r="D35" s="8" t="n"/>
      <c r="E35" s="8" t="n"/>
      <c r="F35" s="8" t="n"/>
    </row>
    <row r="36">
      <c r="A36" s="12" t="n"/>
      <c r="B36" s="12" t="n"/>
      <c r="C36" s="12" t="n"/>
      <c r="D36" s="12" t="n"/>
      <c r="E36" s="12" t="n"/>
      <c r="F36" s="12" t="n"/>
    </row>
    <row r="37">
      <c r="A37" s="8" t="n"/>
      <c r="B37" s="8" t="n"/>
      <c r="C37" s="8" t="n"/>
      <c r="D37" s="8" t="n"/>
      <c r="E37" s="8" t="n"/>
      <c r="F37" s="8" t="n"/>
    </row>
    <row r="38">
      <c r="A38" s="12" t="n"/>
      <c r="B38" s="12" t="n"/>
      <c r="C38" s="12" t="n"/>
      <c r="D38" s="12" t="n"/>
      <c r="E38" s="12" t="n"/>
      <c r="F38" s="12" t="n"/>
    </row>
    <row r="39">
      <c r="A39" s="8" t="n"/>
      <c r="B39" s="8" t="n"/>
      <c r="C39" s="8" t="n"/>
      <c r="D39" s="8" t="n"/>
      <c r="E39" s="8" t="n"/>
      <c r="F39" s="8" t="n"/>
    </row>
    <row r="40">
      <c r="A40" s="12" t="n"/>
      <c r="B40" s="12" t="n"/>
      <c r="C40" s="12" t="n"/>
      <c r="D40" s="12" t="n"/>
      <c r="E40" s="12" t="n"/>
      <c r="F40" s="12" t="n"/>
    </row>
    <row r="41">
      <c r="A41" s="8" t="n"/>
      <c r="B41" s="8" t="n"/>
      <c r="C41" s="8" t="n"/>
      <c r="D41" s="8" t="n"/>
      <c r="E41" s="8" t="n"/>
      <c r="F41" s="8" t="n"/>
    </row>
    <row r="42">
      <c r="A42" s="12" t="n"/>
      <c r="B42" s="12" t="n"/>
      <c r="C42" s="12" t="n"/>
      <c r="D42" s="12" t="n"/>
      <c r="E42" s="12" t="n"/>
      <c r="F42" s="12" t="n"/>
    </row>
    <row r="43">
      <c r="A43" s="8" t="n"/>
      <c r="B43" s="8" t="n"/>
      <c r="C43" s="8" t="n"/>
      <c r="D43" s="8" t="n"/>
      <c r="E43" s="8" t="n"/>
      <c r="F43" s="8" t="n"/>
    </row>
    <row r="44">
      <c r="A44" s="12" t="n"/>
      <c r="B44" s="12" t="n"/>
      <c r="C44" s="12" t="n"/>
      <c r="D44" s="12" t="n"/>
      <c r="E44" s="12" t="n"/>
      <c r="F44" s="12" t="n"/>
    </row>
    <row r="45">
      <c r="A45" s="8" t="n"/>
      <c r="B45" s="8" t="n"/>
      <c r="C45" s="8" t="n"/>
      <c r="D45" s="8" t="n"/>
      <c r="E45" s="8" t="n"/>
      <c r="F45" s="8" t="n"/>
    </row>
    <row r="46">
      <c r="A46" s="12" t="n"/>
      <c r="B46" s="12" t="n"/>
      <c r="C46" s="12" t="n"/>
      <c r="D46" s="12" t="n"/>
      <c r="E46" s="12" t="n"/>
      <c r="F46" s="12" t="n"/>
    </row>
    <row r="47">
      <c r="A47" s="8" t="n"/>
      <c r="B47" s="8" t="n"/>
      <c r="C47" s="8" t="n"/>
      <c r="D47" s="8" t="n"/>
      <c r="E47" s="8" t="n"/>
      <c r="F47" s="8" t="n"/>
    </row>
    <row r="48">
      <c r="A48" s="12" t="n"/>
      <c r="B48" s="12" t="n"/>
      <c r="C48" s="12" t="n"/>
      <c r="D48" s="12" t="n"/>
      <c r="E48" s="12" t="n"/>
      <c r="F48" s="12" t="n"/>
    </row>
    <row r="49">
      <c r="A49" s="8" t="n"/>
      <c r="B49" s="8" t="n"/>
      <c r="C49" s="8" t="n"/>
      <c r="D49" s="8" t="n"/>
      <c r="E49" s="8" t="n"/>
      <c r="F49" s="8" t="n"/>
    </row>
    <row r="50">
      <c r="A50" s="12" t="n"/>
      <c r="B50" s="12" t="n"/>
      <c r="C50" s="12" t="n"/>
      <c r="D50" s="12" t="n"/>
      <c r="E50" s="12" t="n"/>
      <c r="F50" s="12" t="n"/>
    </row>
    <row r="51">
      <c r="A51" s="8" t="n"/>
      <c r="B51" s="8" t="n"/>
      <c r="C51" s="8" t="n"/>
      <c r="D51" s="8" t="n"/>
      <c r="E51" s="8" t="n"/>
      <c r="F51" s="8" t="n"/>
    </row>
    <row r="52">
      <c r="A52" s="12" t="n"/>
      <c r="B52" s="12" t="n"/>
      <c r="C52" s="12" t="n"/>
      <c r="D52" s="12" t="n"/>
      <c r="E52" s="12" t="n"/>
      <c r="F52" s="12" t="n"/>
    </row>
    <row r="53">
      <c r="A53" s="8" t="n"/>
      <c r="B53" s="8" t="n"/>
      <c r="C53" s="8" t="n"/>
      <c r="D53" s="8" t="n"/>
      <c r="E53" s="8" t="n"/>
      <c r="F53" s="8" t="n"/>
    </row>
    <row r="54">
      <c r="A54" s="12" t="n"/>
      <c r="B54" s="12" t="n"/>
      <c r="C54" s="12" t="n"/>
      <c r="D54" s="12" t="n"/>
      <c r="E54" s="12" t="n"/>
      <c r="F54" s="12" t="n"/>
    </row>
    <row r="55">
      <c r="A55" s="8" t="n"/>
      <c r="B55" s="8" t="n"/>
      <c r="C55" s="8" t="n"/>
      <c r="D55" s="8" t="n"/>
      <c r="E55" s="8" t="n"/>
      <c r="F55" s="8" t="n"/>
    </row>
    <row r="56">
      <c r="A56" s="12" t="n"/>
      <c r="B56" s="12" t="n"/>
      <c r="C56" s="12" t="n"/>
      <c r="D56" s="12" t="n"/>
      <c r="E56" s="12" t="n"/>
      <c r="F56" s="12" t="n"/>
    </row>
    <row r="57">
      <c r="A57" s="8" t="n"/>
      <c r="B57" s="8" t="n"/>
      <c r="C57" s="8" t="n"/>
      <c r="D57" s="8" t="n"/>
      <c r="E57" s="8" t="n"/>
      <c r="F57" s="8" t="n"/>
    </row>
    <row r="58">
      <c r="A58" s="12" t="n"/>
      <c r="B58" s="12" t="n"/>
      <c r="C58" s="12" t="n"/>
      <c r="D58" s="12" t="n"/>
      <c r="E58" s="12" t="n"/>
      <c r="F58" s="12" t="n"/>
    </row>
    <row r="59">
      <c r="A59" s="8" t="n"/>
      <c r="B59" s="8" t="n"/>
      <c r="C59" s="8" t="n"/>
      <c r="D59" s="8" t="n"/>
      <c r="E59" s="8" t="n"/>
      <c r="F59" s="8" t="n"/>
    </row>
    <row r="60">
      <c r="A60" s="12" t="n"/>
      <c r="B60" s="12" t="n"/>
      <c r="C60" s="12" t="n"/>
      <c r="D60" s="12" t="n"/>
      <c r="E60" s="12" t="n"/>
      <c r="F60" s="12" t="n"/>
    </row>
    <row r="61">
      <c r="A61" s="8" t="n"/>
      <c r="B61" s="8" t="n"/>
      <c r="C61" s="8" t="n"/>
      <c r="D61" s="8" t="n"/>
      <c r="E61" s="8" t="n"/>
      <c r="F61" s="8" t="n"/>
    </row>
    <row r="62">
      <c r="A62" s="12" t="n"/>
      <c r="B62" s="12" t="n"/>
      <c r="C62" s="12" t="n"/>
      <c r="D62" s="12" t="n"/>
      <c r="E62" s="12" t="n"/>
      <c r="F62" s="12" t="n"/>
    </row>
    <row r="63">
      <c r="A63" s="8" t="n"/>
      <c r="B63" s="8" t="n"/>
      <c r="C63" s="8" t="n"/>
      <c r="D63" s="8" t="n"/>
      <c r="E63" s="8" t="n"/>
      <c r="F63" s="8" t="n"/>
    </row>
    <row r="64">
      <c r="A64" s="12" t="n"/>
      <c r="B64" s="12" t="n"/>
      <c r="C64" s="12" t="n"/>
      <c r="D64" s="12" t="n"/>
      <c r="E64" s="12" t="n"/>
      <c r="F64" s="12" t="n"/>
    </row>
    <row r="65">
      <c r="A65" s="8" t="n"/>
      <c r="B65" s="8" t="n"/>
      <c r="C65" s="8" t="n"/>
      <c r="D65" s="8" t="n"/>
      <c r="E65" s="8" t="n"/>
      <c r="F65" s="8" t="n"/>
    </row>
    <row r="66">
      <c r="A66" s="12" t="n"/>
      <c r="B66" s="12" t="n"/>
      <c r="C66" s="12" t="n"/>
      <c r="D66" s="12" t="n"/>
      <c r="E66" s="12" t="n"/>
      <c r="F66" s="12" t="n"/>
    </row>
    <row r="67">
      <c r="A67" s="8" t="n"/>
      <c r="B67" s="8" t="n"/>
      <c r="C67" s="8" t="n"/>
      <c r="D67" s="8" t="n"/>
      <c r="E67" s="8" t="n"/>
      <c r="F67" s="8" t="n"/>
    </row>
    <row r="68">
      <c r="A68" s="12" t="n"/>
      <c r="B68" s="12" t="n"/>
      <c r="C68" s="12" t="n"/>
      <c r="D68" s="12" t="n"/>
      <c r="E68" s="12" t="n"/>
      <c r="F68" s="12" t="n"/>
    </row>
    <row r="69">
      <c r="A69" s="8" t="n"/>
      <c r="B69" s="8" t="n"/>
      <c r="C69" s="8" t="n"/>
      <c r="D69" s="8" t="n"/>
      <c r="E69" s="8" t="n"/>
      <c r="F69" s="8" t="n"/>
    </row>
    <row r="70">
      <c r="A70" s="12" t="n"/>
      <c r="B70" s="12" t="n"/>
      <c r="C70" s="12" t="n"/>
      <c r="D70" s="12" t="n"/>
      <c r="E70" s="12" t="n"/>
      <c r="F70" s="12" t="n"/>
    </row>
    <row r="71">
      <c r="A71" s="8" t="n"/>
      <c r="B71" s="8" t="n"/>
      <c r="C71" s="8" t="n"/>
      <c r="D71" s="8" t="n"/>
      <c r="E71" s="8" t="n"/>
      <c r="F71" s="8" t="n"/>
    </row>
    <row r="72">
      <c r="A72" s="12" t="n"/>
      <c r="B72" s="12" t="n"/>
      <c r="C72" s="12" t="n"/>
      <c r="D72" s="12" t="n"/>
      <c r="E72" s="12" t="n"/>
      <c r="F72" s="12" t="n"/>
    </row>
    <row r="73">
      <c r="A73" s="8" t="n"/>
      <c r="B73" s="8" t="n"/>
      <c r="C73" s="8" t="n"/>
      <c r="D73" s="8" t="n"/>
      <c r="E73" s="8" t="n"/>
      <c r="F73" s="8" t="n"/>
    </row>
    <row r="74">
      <c r="A74" s="12" t="n"/>
      <c r="B74" s="12" t="n"/>
      <c r="C74" s="12" t="n"/>
      <c r="D74" s="12" t="n"/>
      <c r="E74" s="12" t="n"/>
      <c r="F74" s="12" t="n"/>
    </row>
    <row r="75">
      <c r="A75" s="8" t="n"/>
      <c r="B75" s="8" t="n"/>
      <c r="C75" s="8" t="n"/>
      <c r="D75" s="8" t="n"/>
      <c r="E75" s="8" t="n"/>
      <c r="F75" s="8" t="n"/>
    </row>
    <row r="76">
      <c r="A76" s="12" t="n"/>
      <c r="B76" s="12" t="n"/>
      <c r="C76" s="12" t="n"/>
      <c r="D76" s="12" t="n"/>
      <c r="E76" s="12" t="n"/>
      <c r="F76" s="12" t="n"/>
    </row>
    <row r="77">
      <c r="A77" s="8" t="n"/>
      <c r="B77" s="8" t="n"/>
      <c r="C77" s="8" t="n"/>
      <c r="D77" s="8" t="n"/>
      <c r="E77" s="8" t="n"/>
      <c r="F77" s="8" t="n"/>
    </row>
    <row r="78">
      <c r="A78" s="12" t="n"/>
      <c r="B78" s="12" t="n"/>
      <c r="C78" s="12" t="n"/>
      <c r="D78" s="12" t="n"/>
      <c r="E78" s="12" t="n"/>
      <c r="F78" s="12" t="n"/>
    </row>
    <row r="79">
      <c r="A79" s="8" t="n"/>
      <c r="B79" s="8" t="n"/>
      <c r="C79" s="8" t="n"/>
      <c r="D79" s="8" t="n"/>
      <c r="E79" s="8" t="n"/>
      <c r="F79" s="8" t="n"/>
    </row>
    <row r="80">
      <c r="A80" s="12" t="n"/>
      <c r="B80" s="12" t="n"/>
      <c r="C80" s="12" t="n"/>
      <c r="D80" s="12" t="n"/>
      <c r="E80" s="12" t="n"/>
      <c r="F80" s="12" t="n"/>
    </row>
    <row r="81">
      <c r="A81" s="8" t="n"/>
      <c r="B81" s="8" t="n"/>
      <c r="C81" s="8" t="n"/>
      <c r="D81" s="8" t="n"/>
      <c r="E81" s="8" t="n"/>
      <c r="F81" s="8" t="n"/>
    </row>
    <row r="82">
      <c r="A82" s="12" t="n"/>
      <c r="B82" s="12" t="n"/>
      <c r="C82" s="12" t="n"/>
      <c r="D82" s="12" t="n"/>
      <c r="E82" s="12" t="n"/>
      <c r="F82" s="12" t="n"/>
    </row>
    <row r="83">
      <c r="A83" s="8" t="n"/>
      <c r="B83" s="8" t="n"/>
      <c r="C83" s="8" t="n"/>
      <c r="D83" s="8" t="n"/>
      <c r="E83" s="8" t="n"/>
      <c r="F83" s="8" t="n"/>
    </row>
    <row r="84">
      <c r="A84" s="12" t="n"/>
      <c r="B84" s="12" t="n"/>
      <c r="C84" s="12" t="n"/>
      <c r="D84" s="12" t="n"/>
      <c r="E84" s="12" t="n"/>
      <c r="F84" s="12" t="n"/>
    </row>
    <row r="85">
      <c r="A85" s="8" t="n"/>
      <c r="B85" s="8" t="n"/>
      <c r="C85" s="8" t="n"/>
      <c r="D85" s="8" t="n"/>
      <c r="E85" s="8" t="n"/>
      <c r="F85" s="8" t="n"/>
    </row>
    <row r="86">
      <c r="A86" s="12" t="n"/>
      <c r="B86" s="12" t="n"/>
      <c r="C86" s="12" t="n"/>
      <c r="D86" s="12" t="n"/>
      <c r="E86" s="12" t="n"/>
      <c r="F86" s="12" t="n"/>
    </row>
    <row r="87">
      <c r="A87" s="8" t="n"/>
      <c r="B87" s="8" t="n"/>
      <c r="C87" s="8" t="n"/>
      <c r="D87" s="8" t="n"/>
      <c r="E87" s="8" t="n"/>
      <c r="F87" s="8" t="n"/>
    </row>
    <row r="88">
      <c r="A88" s="12" t="n"/>
      <c r="B88" s="12" t="n"/>
      <c r="C88" s="12" t="n"/>
      <c r="D88" s="12" t="n"/>
      <c r="E88" s="12" t="n"/>
      <c r="F88" s="12" t="n"/>
    </row>
    <row r="89">
      <c r="A89" s="8" t="n"/>
      <c r="B89" s="8" t="n"/>
      <c r="C89" s="8" t="n"/>
      <c r="D89" s="8" t="n"/>
      <c r="E89" s="8" t="n"/>
      <c r="F89" s="8" t="n"/>
    </row>
    <row r="90">
      <c r="A90" s="12" t="n"/>
      <c r="B90" s="12" t="n"/>
      <c r="C90" s="12" t="n"/>
      <c r="D90" s="12" t="n"/>
      <c r="E90" s="12" t="n"/>
      <c r="F90" s="12" t="n"/>
    </row>
    <row r="91">
      <c r="A91" s="8" t="n"/>
      <c r="B91" s="8" t="n"/>
      <c r="C91" s="8" t="n"/>
      <c r="D91" s="8" t="n"/>
      <c r="E91" s="8" t="n"/>
      <c r="F91" s="8" t="n"/>
    </row>
    <row r="92">
      <c r="A92" s="12" t="n"/>
      <c r="B92" s="12" t="n"/>
      <c r="C92" s="12" t="n"/>
      <c r="D92" s="12" t="n"/>
      <c r="E92" s="12" t="n"/>
      <c r="F92" s="12" t="n"/>
    </row>
    <row r="93">
      <c r="A93" s="8" t="n"/>
      <c r="B93" s="8" t="n"/>
      <c r="C93" s="8" t="n"/>
      <c r="D93" s="8" t="n"/>
      <c r="E93" s="8" t="n"/>
      <c r="F93" s="8" t="n"/>
    </row>
    <row r="94">
      <c r="A94" s="12" t="n"/>
      <c r="B94" s="12" t="n"/>
      <c r="C94" s="12" t="n"/>
      <c r="D94" s="12" t="n"/>
      <c r="E94" s="12" t="n"/>
      <c r="F94" s="12" t="n"/>
    </row>
    <row r="95">
      <c r="A95" s="8" t="n"/>
      <c r="B95" s="8" t="n"/>
      <c r="C95" s="8" t="n"/>
      <c r="D95" s="8" t="n"/>
      <c r="E95" s="8" t="n"/>
      <c r="F95" s="8" t="n"/>
    </row>
    <row r="96">
      <c r="A96" s="12" t="n"/>
      <c r="B96" s="12" t="n"/>
      <c r="C96" s="12" t="n"/>
      <c r="D96" s="12" t="n"/>
      <c r="E96" s="12" t="n"/>
      <c r="F96" s="12" t="n"/>
    </row>
    <row r="97">
      <c r="A97" s="8" t="n"/>
      <c r="B97" s="8" t="n"/>
      <c r="C97" s="8" t="n"/>
      <c r="D97" s="8" t="n"/>
      <c r="E97" s="8" t="n"/>
      <c r="F97" s="8" t="n"/>
    </row>
    <row r="98">
      <c r="A98" s="12" t="n"/>
      <c r="B98" s="12" t="n"/>
      <c r="C98" s="12" t="n"/>
      <c r="D98" s="12" t="n"/>
      <c r="E98" s="12" t="n"/>
      <c r="F98" s="12" t="n"/>
    </row>
    <row r="99">
      <c r="A99" s="8" t="n"/>
      <c r="B99" s="8" t="n"/>
      <c r="C99" s="8" t="n"/>
      <c r="D99" s="8" t="n"/>
      <c r="E99" s="8" t="n"/>
      <c r="F99" s="8" t="n"/>
    </row>
    <row r="100">
      <c r="A100" s="12" t="n"/>
      <c r="B100" s="12" t="n"/>
      <c r="C100" s="12" t="n"/>
      <c r="D100" s="12" t="n"/>
      <c r="E100" s="12" t="n"/>
      <c r="F100" s="12" t="n"/>
    </row>
    <row r="101">
      <c r="A101" s="8" t="n"/>
      <c r="B101" s="8" t="n"/>
      <c r="C101" s="8" t="n"/>
      <c r="D101" s="8" t="n"/>
      <c r="E101" s="8" t="n"/>
      <c r="F101" s="8" t="n"/>
    </row>
    <row r="102">
      <c r="A102" s="12" t="n"/>
      <c r="B102" s="12" t="n"/>
      <c r="C102" s="12" t="n"/>
      <c r="D102" s="12" t="n"/>
      <c r="E102" s="12" t="n"/>
      <c r="F102" s="12" t="n"/>
    </row>
  </sheetData>
  <autoFilter ref="A2:F102"/>
  <mergeCells count="1">
    <mergeCell ref="A1:F1"/>
  </mergeCells>
  <dataValidations count="2">
    <dataValidation sqref="C3:C102" showDropDown="0" showInputMessage="0" showErrorMessage="0" allowBlank="1" type="list">
      <formula1>"Phone Call,Email,Text,LinkedIn Message,Video Call,In-Person Meeting,Sent Quote,Sent Proposal,Follow-Up,Referral Ask,Other"</formula1>
    </dataValidation>
    <dataValidation sqref="D3:D102" showDropDown="0" showInputMessage="0" showErrorMessage="0" allowBlank="1" type="list">
      <formula1>"No Answer,Left Voicemail,Spoke - Interested,Spoke - Not Ready,Meeting Booked,Quote Sent,Proposal Sent,App Submitted,Signed,Declined,Other"</formula1>
    </dataValidation>
  </dataValidations>
  <pageMargins left="0.75" right="0.75" top="1" bottom="1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 fitToPage="1"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50" customHeight="1">
      <c r="A1" s="1" t="inlineStr">
        <is>
          <t>MONDAY PIPELINE REVIEW</t>
        </is>
      </c>
    </row>
    <row r="3" ht="32" customHeight="1">
      <c r="A3" s="31" t="inlineStr">
        <is>
          <t>THIS WEEK'S NUMBERS</t>
        </is>
      </c>
    </row>
    <row r="4">
      <c r="A4" s="36" t="inlineStr">
        <is>
          <t>Active Deals</t>
        </is>
      </c>
      <c r="B4" s="34" t="n"/>
      <c r="C4" s="37">
        <f>COUNTIFS(Pipeline!A5:A80,"&lt;&gt;",Pipeline!F5:F80,"&lt;&gt;Closed-Won",Pipeline!F5:F80,"&lt;&gt;Closed-Lost")</f>
        <v/>
      </c>
      <c r="D4" s="34" t="n"/>
    </row>
    <row r="5">
      <c r="A5" s="36" t="inlineStr">
        <is>
          <t>Pipeline Value</t>
        </is>
      </c>
      <c r="B5" s="34" t="n"/>
      <c r="C5" s="38">
        <f>SUMPRODUCT((Pipeline!F5:F80&lt;&gt;"Closed-Won")*(Pipeline!F5:F80&lt;&gt;"Closed-Lost")*(Pipeline!F5:F80&lt;&gt;"")*Pipeline!H5:H80)</f>
        <v/>
      </c>
      <c r="D5" s="34" t="n"/>
    </row>
    <row r="6">
      <c r="A6" s="36" t="inlineStr">
        <is>
          <t>Hot Leads</t>
        </is>
      </c>
      <c r="B6" s="34" t="n"/>
      <c r="C6" s="37">
        <f>COUNTIF(Pipeline!E5:E80,"Hot")</f>
        <v/>
      </c>
      <c r="D6" s="34" t="n"/>
    </row>
    <row r="7">
      <c r="A7" s="36" t="inlineStr">
        <is>
          <t>Overdue Follow-Ups</t>
        </is>
      </c>
      <c r="B7" s="34" t="n"/>
      <c r="C7" s="37">
        <f>COUNTIFS(Pipeline!K5:K80,"&lt;"&amp;TODAY(),Pipeline!K5:K80,"&lt;&gt;",Pipeline!F5:F80,"&lt;&gt;Closed-Won",Pipeline!F5:F80,"&lt;&gt;Closed-Lost")</f>
        <v/>
      </c>
      <c r="D7" s="34" t="n"/>
    </row>
    <row r="8">
      <c r="A8" s="36" t="inlineStr">
        <is>
          <t>Follow-Ups This Week</t>
        </is>
      </c>
      <c r="B8" s="34" t="n"/>
      <c r="C8" s="37">
        <f>COUNTIFS(Pipeline!K5:K80,"&gt;="&amp;TODAY(),Pipeline!K5:K80,"&lt;="&amp;(TODAY()+7),Pipeline!F5:F80,"&lt;&gt;Closed-Won")</f>
        <v/>
      </c>
      <c r="D8" s="34" t="n"/>
    </row>
    <row r="9">
      <c r="A9" s="36" t="inlineStr">
        <is>
          <t>Deals Won (Total)</t>
        </is>
      </c>
      <c r="B9" s="34" t="n"/>
      <c r="C9" s="37">
        <f>COUNTIF(Pipeline!F5:F80,"Closed-Won")</f>
        <v/>
      </c>
      <c r="D9" s="34" t="n"/>
    </row>
    <row r="11" ht="32" customHeight="1">
      <c r="A11" s="31" t="inlineStr">
        <is>
          <t>TOP 5 ACTIONS THIS WEEK</t>
        </is>
      </c>
    </row>
    <row r="12">
      <c r="A12" s="7" t="inlineStr">
        <is>
          <t>Priority</t>
        </is>
      </c>
      <c r="B12" s="7" t="inlineStr">
        <is>
          <t>Action</t>
        </is>
      </c>
      <c r="C12" s="7" t="inlineStr">
        <is>
          <t>Prospect</t>
        </is>
      </c>
      <c r="D12" s="7" t="inlineStr">
        <is>
          <t>Done?</t>
        </is>
      </c>
    </row>
    <row r="13">
      <c r="A13" s="8" t="n"/>
      <c r="B13" s="8" t="n"/>
      <c r="C13" s="8" t="n"/>
      <c r="D13" s="8" t="n"/>
    </row>
    <row r="14">
      <c r="A14" s="12" t="n"/>
      <c r="B14" s="12" t="n"/>
      <c r="C14" s="12" t="n"/>
      <c r="D14" s="12" t="n"/>
    </row>
    <row r="15">
      <c r="A15" s="8" t="n"/>
      <c r="B15" s="8" t="n"/>
      <c r="C15" s="8" t="n"/>
      <c r="D15" s="8" t="n"/>
    </row>
    <row r="16">
      <c r="A16" s="12" t="n"/>
      <c r="B16" s="12" t="n"/>
      <c r="C16" s="12" t="n"/>
      <c r="D16" s="12" t="n"/>
    </row>
    <row r="17">
      <c r="A17" s="8" t="n"/>
      <c r="B17" s="8" t="n"/>
      <c r="C17" s="8" t="n"/>
      <c r="D17" s="8" t="n"/>
    </row>
    <row r="19" ht="32" customHeight="1">
      <c r="A19" s="31" t="inlineStr">
        <is>
          <t>WINS THIS WEEK</t>
        </is>
      </c>
    </row>
    <row r="20" ht="25" customHeight="1">
      <c r="A20" s="39" t="n"/>
      <c r="B20" s="33" t="n"/>
      <c r="C20" s="33" t="n"/>
      <c r="D20" s="34" t="n"/>
    </row>
    <row r="21" ht="25" customHeight="1">
      <c r="A21" s="40" t="n"/>
      <c r="B21" s="33" t="n"/>
      <c r="C21" s="33" t="n"/>
      <c r="D21" s="34" t="n"/>
    </row>
    <row r="22" ht="25" customHeight="1">
      <c r="A22" s="39" t="n"/>
      <c r="B22" s="33" t="n"/>
      <c r="C22" s="33" t="n"/>
      <c r="D22" s="34" t="n"/>
    </row>
    <row r="24" ht="32" customHeight="1">
      <c r="A24" s="31" t="inlineStr">
        <is>
          <t>NEXT WEEK'S FOCUS</t>
        </is>
      </c>
    </row>
    <row r="25" ht="28" customHeight="1">
      <c r="A25" s="32" t="inlineStr">
        <is>
          <t>1.</t>
        </is>
      </c>
      <c r="B25" s="33" t="n"/>
      <c r="C25" s="33" t="n"/>
      <c r="D25" s="34" t="n"/>
    </row>
    <row r="26" ht="28" customHeight="1">
      <c r="A26" s="32" t="inlineStr">
        <is>
          <t>2.</t>
        </is>
      </c>
      <c r="B26" s="33" t="n"/>
      <c r="C26" s="33" t="n"/>
      <c r="D26" s="34" t="n"/>
    </row>
    <row r="27" ht="28" customHeight="1">
      <c r="A27" s="32" t="inlineStr">
        <is>
          <t>3.</t>
        </is>
      </c>
      <c r="B27" s="33" t="n"/>
      <c r="C27" s="33" t="n"/>
      <c r="D27" s="34" t="n"/>
    </row>
  </sheetData>
  <mergeCells count="23">
    <mergeCell ref="C6:D6"/>
    <mergeCell ref="A22:D22"/>
    <mergeCell ref="A20:D20"/>
    <mergeCell ref="C5:D5"/>
    <mergeCell ref="A19:D19"/>
    <mergeCell ref="A6:B6"/>
    <mergeCell ref="C4:D4"/>
    <mergeCell ref="A7:B7"/>
    <mergeCell ref="A24:D24"/>
    <mergeCell ref="A11:D11"/>
    <mergeCell ref="C9:D9"/>
    <mergeCell ref="A1:D1"/>
    <mergeCell ref="A5:B5"/>
    <mergeCell ref="A25:D25"/>
    <mergeCell ref="A8:B8"/>
    <mergeCell ref="C8:D8"/>
    <mergeCell ref="A4:B4"/>
    <mergeCell ref="A27:D27"/>
    <mergeCell ref="C7:D7"/>
    <mergeCell ref="A3:D3"/>
    <mergeCell ref="A21:D21"/>
    <mergeCell ref="A26:D26"/>
    <mergeCell ref="A9:B9"/>
  </mergeCells>
  <conditionalFormatting sqref="D13:D17">
    <cfRule type="cellIs" priority="1" operator="equal" dxfId="11">
      <formula>"Yes"</formula>
    </cfRule>
  </conditionalFormatting>
  <dataValidations count="1">
    <dataValidation sqref="D13:D17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2026-03-09T17:26:01Z</dcterms:created>
  <dcterms:modified xmlns:dcterms="http://purl.org/dc/terms/" xmlns:xsi="http://www.w3.org/2001/XMLSchema-instance" xsi:type="dcterms:W3CDTF">2026-03-09T17:50:22Z</dcterms:modified>
</cp:coreProperties>
</file>